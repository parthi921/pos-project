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RTHIPAN\Documents\"/>
    </mc:Choice>
  </mc:AlternateContent>
  <bookViews>
    <workbookView xWindow="0" yWindow="0" windowWidth="3795" windowHeight="4050"/>
  </bookViews>
  <sheets>
    <sheet name="Sheet1" sheetId="1" r:id="rId1"/>
    <sheet name="items" sheetId="2" r:id="rId2"/>
    <sheet name="Sheet2" sheetId="4" state="hidden" r:id="rId3"/>
    <sheet name="sales report" sheetId="3" r:id="rId4"/>
  </sheets>
  <definedNames>
    <definedName name="list">OFFSET(Sheet1!#REF!,3,6,COUNTA(Sheet1!#REF!),6)</definedName>
    <definedName name="Mylist">OFFSET(Sheet2!$A$1,0,0,COUNTA(items!$C$2:$C$30),1)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9" i="1" l="1"/>
  <c r="F16" i="1"/>
  <c r="D5" i="1"/>
  <c r="O2" i="2" l="1"/>
  <c r="L2" i="2" l="1"/>
  <c r="F10" i="1" l="1"/>
  <c r="F11" i="1" l="1"/>
  <c r="L6" i="2"/>
  <c r="L5" i="2"/>
  <c r="D4" i="1" l="1"/>
  <c r="G10" i="1"/>
  <c r="K10" i="1" s="1"/>
  <c r="C11" i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G11" i="1"/>
  <c r="K11" i="1" s="1"/>
  <c r="F12" i="1"/>
  <c r="G12" i="1"/>
  <c r="K12" i="1" s="1"/>
  <c r="F13" i="1"/>
  <c r="G13" i="1"/>
  <c r="K13" i="1" s="1"/>
  <c r="F14" i="1"/>
  <c r="G14" i="1"/>
  <c r="K14" i="1" s="1"/>
  <c r="F15" i="1"/>
  <c r="G15" i="1"/>
  <c r="K15" i="1" s="1"/>
  <c r="G16" i="1"/>
  <c r="K16" i="1" s="1"/>
  <c r="F17" i="1"/>
  <c r="G17" i="1"/>
  <c r="K17" i="1" s="1"/>
  <c r="F18" i="1"/>
  <c r="G18" i="1"/>
  <c r="K18" i="1" s="1"/>
  <c r="F19" i="1"/>
  <c r="G19" i="1"/>
  <c r="K19" i="1" s="1"/>
  <c r="F20" i="1"/>
  <c r="G20" i="1"/>
  <c r="K20" i="1" s="1"/>
  <c r="F21" i="1"/>
  <c r="G21" i="1"/>
  <c r="K21" i="1" s="1"/>
  <c r="F22" i="1"/>
  <c r="G22" i="1"/>
  <c r="K22" i="1" s="1"/>
  <c r="F23" i="1"/>
  <c r="G23" i="1"/>
  <c r="K23" i="1" s="1"/>
  <c r="J16" i="1" l="1"/>
  <c r="J11" i="1"/>
  <c r="J10" i="1"/>
  <c r="J14" i="1"/>
  <c r="J13" i="1"/>
  <c r="J15" i="1"/>
  <c r="J23" i="1"/>
  <c r="J19" i="1"/>
  <c r="J21" i="1"/>
  <c r="J17" i="1"/>
  <c r="J12" i="1"/>
  <c r="J20" i="1"/>
  <c r="J22" i="1"/>
  <c r="J18" i="1"/>
  <c r="I16" i="1"/>
  <c r="I15" i="1"/>
  <c r="I23" i="1"/>
  <c r="I22" i="1"/>
  <c r="I18" i="1"/>
  <c r="I12" i="1"/>
  <c r="I14" i="1"/>
  <c r="I24" i="1"/>
  <c r="I17" i="1"/>
  <c r="I21" i="1"/>
  <c r="I13" i="1"/>
  <c r="I20" i="1"/>
  <c r="I19" i="1"/>
  <c r="I10" i="1"/>
  <c r="M3" i="2"/>
  <c r="M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K25" i="1" l="1"/>
  <c r="K24" i="1"/>
  <c r="I25" i="1"/>
  <c r="I26" i="1" s="1"/>
  <c r="J31" i="2"/>
  <c r="N32" i="2"/>
  <c r="N31" i="2"/>
  <c r="K26" i="1" l="1"/>
  <c r="D2" i="3"/>
  <c r="K27" i="1" l="1"/>
  <c r="K28" i="1"/>
  <c r="L3" i="2"/>
  <c r="L4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K30" i="1" l="1"/>
  <c r="E30" i="1" s="1"/>
  <c r="F2" i="2"/>
  <c r="G2" i="2"/>
  <c r="H2" i="2"/>
  <c r="I2" i="2"/>
  <c r="J2" i="2"/>
  <c r="F3" i="2"/>
  <c r="G3" i="2"/>
  <c r="H3" i="2"/>
  <c r="I3" i="2"/>
  <c r="J3" i="2"/>
  <c r="F4" i="2"/>
  <c r="G4" i="2"/>
  <c r="H4" i="2"/>
  <c r="I4" i="2"/>
  <c r="J4" i="2"/>
  <c r="F5" i="2"/>
  <c r="G5" i="2"/>
  <c r="H5" i="2"/>
  <c r="I5" i="2"/>
  <c r="J5" i="2"/>
  <c r="F6" i="2"/>
  <c r="G6" i="2"/>
  <c r="H6" i="2"/>
  <c r="I6" i="2"/>
  <c r="J6" i="2"/>
  <c r="F7" i="2"/>
  <c r="G7" i="2"/>
  <c r="H7" i="2"/>
  <c r="I7" i="2"/>
  <c r="J7" i="2"/>
  <c r="F8" i="2"/>
  <c r="G8" i="2"/>
  <c r="H8" i="2"/>
  <c r="I8" i="2"/>
  <c r="J8" i="2"/>
  <c r="F9" i="2"/>
  <c r="G9" i="2"/>
  <c r="H9" i="2"/>
  <c r="I9" i="2"/>
  <c r="J9" i="2"/>
  <c r="F10" i="2"/>
  <c r="G10" i="2"/>
  <c r="H10" i="2"/>
  <c r="I10" i="2"/>
  <c r="J10" i="2"/>
  <c r="F11" i="2"/>
  <c r="G11" i="2"/>
  <c r="H11" i="2"/>
  <c r="I11" i="2"/>
  <c r="J11" i="2"/>
  <c r="F12" i="2"/>
  <c r="G12" i="2"/>
  <c r="H12" i="2"/>
  <c r="I12" i="2"/>
  <c r="J12" i="2"/>
  <c r="F13" i="2"/>
  <c r="G13" i="2"/>
  <c r="H13" i="2"/>
  <c r="I13" i="2"/>
  <c r="J13" i="2"/>
  <c r="F14" i="2"/>
  <c r="G14" i="2"/>
  <c r="H14" i="2"/>
  <c r="I14" i="2"/>
  <c r="J14" i="2"/>
  <c r="F15" i="2"/>
  <c r="G15" i="2"/>
  <c r="H15" i="2"/>
  <c r="I15" i="2"/>
  <c r="J15" i="2"/>
  <c r="F16" i="2"/>
  <c r="G16" i="2"/>
  <c r="H16" i="2"/>
  <c r="I16" i="2"/>
  <c r="J16" i="2"/>
  <c r="F17" i="2"/>
  <c r="G17" i="2"/>
  <c r="H17" i="2"/>
  <c r="I17" i="2"/>
  <c r="J17" i="2"/>
  <c r="F18" i="2"/>
  <c r="G18" i="2"/>
  <c r="H18" i="2"/>
  <c r="I18" i="2"/>
  <c r="J18" i="2"/>
  <c r="F19" i="2"/>
  <c r="G19" i="2"/>
  <c r="H19" i="2"/>
  <c r="I19" i="2"/>
  <c r="J19" i="2"/>
  <c r="F20" i="2"/>
  <c r="G20" i="2"/>
  <c r="H20" i="2"/>
  <c r="I20" i="2"/>
  <c r="J20" i="2"/>
  <c r="F21" i="2"/>
  <c r="G21" i="2"/>
  <c r="H21" i="2"/>
  <c r="I21" i="2"/>
  <c r="J21" i="2"/>
  <c r="F22" i="2"/>
  <c r="G22" i="2"/>
  <c r="H22" i="2"/>
  <c r="I22" i="2"/>
  <c r="J22" i="2"/>
  <c r="F23" i="2"/>
  <c r="G23" i="2"/>
  <c r="H23" i="2"/>
  <c r="I23" i="2"/>
  <c r="J23" i="2"/>
  <c r="F24" i="2"/>
  <c r="G24" i="2"/>
  <c r="H24" i="2"/>
  <c r="I24" i="2"/>
  <c r="J24" i="2"/>
  <c r="F25" i="2"/>
  <c r="G25" i="2"/>
  <c r="H25" i="2"/>
  <c r="I25" i="2"/>
  <c r="J25" i="2"/>
  <c r="F26" i="2"/>
  <c r="G26" i="2"/>
  <c r="H26" i="2"/>
  <c r="I26" i="2"/>
  <c r="J26" i="2"/>
  <c r="F27" i="2"/>
  <c r="G27" i="2"/>
  <c r="H27" i="2"/>
  <c r="I27" i="2"/>
  <c r="J27" i="2"/>
  <c r="F28" i="2"/>
  <c r="G28" i="2"/>
  <c r="H28" i="2"/>
  <c r="I28" i="2"/>
  <c r="J28" i="2"/>
  <c r="F29" i="2"/>
  <c r="G29" i="2"/>
  <c r="H29" i="2"/>
  <c r="I29" i="2"/>
  <c r="J29" i="2"/>
  <c r="F30" i="2"/>
  <c r="G30" i="2"/>
  <c r="H30" i="2"/>
  <c r="I30" i="2"/>
  <c r="J30" i="2"/>
  <c r="F31" i="2"/>
  <c r="G31" i="2"/>
  <c r="H31" i="2"/>
  <c r="I31" i="2"/>
</calcChain>
</file>

<file path=xl/sharedStrings.xml><?xml version="1.0" encoding="utf-8"?>
<sst xmlns="http://schemas.openxmlformats.org/spreadsheetml/2006/main" count="98" uniqueCount="85">
  <si>
    <t>Qty</t>
  </si>
  <si>
    <t>Product Name</t>
  </si>
  <si>
    <t>product  price</t>
  </si>
  <si>
    <t>Selling Price</t>
  </si>
  <si>
    <t>turmaric</t>
  </si>
  <si>
    <t>chicken masala</t>
  </si>
  <si>
    <t>mutton masala</t>
  </si>
  <si>
    <t>red chilli powder</t>
  </si>
  <si>
    <t>rice</t>
  </si>
  <si>
    <t>200gr</t>
  </si>
  <si>
    <t>500gr</t>
  </si>
  <si>
    <t>s.no</t>
  </si>
  <si>
    <t>product Name</t>
  </si>
  <si>
    <t>product price</t>
  </si>
  <si>
    <t>Price</t>
  </si>
  <si>
    <t>200gr(Mrp)</t>
  </si>
  <si>
    <t>500(Mrp)</t>
  </si>
  <si>
    <t>1kg(Mrp)</t>
  </si>
  <si>
    <t>18% gst</t>
  </si>
  <si>
    <t>grand total</t>
  </si>
  <si>
    <t>parthipan</t>
  </si>
  <si>
    <t>Date:</t>
  </si>
  <si>
    <t>Time</t>
  </si>
  <si>
    <t>date</t>
  </si>
  <si>
    <t>time</t>
  </si>
  <si>
    <t>customer name</t>
  </si>
  <si>
    <t>pepper powder</t>
  </si>
  <si>
    <t>list of grams</t>
  </si>
  <si>
    <t>masala powder</t>
  </si>
  <si>
    <t>coriyandar power</t>
  </si>
  <si>
    <t>sugur</t>
  </si>
  <si>
    <t>brown sugur</t>
  </si>
  <si>
    <t>tea</t>
  </si>
  <si>
    <t>cofee pow</t>
  </si>
  <si>
    <t>tomato chaas</t>
  </si>
  <si>
    <t>paneer</t>
  </si>
  <si>
    <t>black seeds</t>
  </si>
  <si>
    <t>cumin</t>
  </si>
  <si>
    <t>dill</t>
  </si>
  <si>
    <t>rava</t>
  </si>
  <si>
    <t>atta</t>
  </si>
  <si>
    <t>lentils</t>
  </si>
  <si>
    <t>dhole dal</t>
  </si>
  <si>
    <t>poha</t>
  </si>
  <si>
    <t>green moong dal</t>
  </si>
  <si>
    <t>chia seeds</t>
  </si>
  <si>
    <t>oats</t>
  </si>
  <si>
    <t>baking soda</t>
  </si>
  <si>
    <t>salt</t>
  </si>
  <si>
    <t>boost</t>
  </si>
  <si>
    <t>billno:</t>
  </si>
  <si>
    <t>Sno</t>
  </si>
  <si>
    <t>A(Qty) 200gr</t>
  </si>
  <si>
    <t>T (Qty)200gr</t>
  </si>
  <si>
    <t>A(Qty) 500gr</t>
  </si>
  <si>
    <t>T (Qty)1kg</t>
  </si>
  <si>
    <t>Fred</t>
  </si>
  <si>
    <t>Sarah</t>
  </si>
  <si>
    <t>Tim</t>
  </si>
  <si>
    <t>Sally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</si>
  <si>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</si>
  <si>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A(Qty)</t>
  </si>
  <si>
    <t>1kg</t>
  </si>
  <si>
    <t>saved</t>
  </si>
  <si>
    <t>500grams</t>
  </si>
  <si>
    <t>Column1</t>
  </si>
  <si>
    <t>Invoice tax</t>
  </si>
  <si>
    <t xml:space="preserve"> name:</t>
  </si>
  <si>
    <t xml:space="preserve">  cell</t>
  </si>
  <si>
    <t>Total</t>
  </si>
  <si>
    <t>200grams</t>
  </si>
  <si>
    <t>item</t>
  </si>
  <si>
    <t>MRP</t>
  </si>
  <si>
    <t>price</t>
  </si>
  <si>
    <t>Harirams grocery shop</t>
  </si>
  <si>
    <t>cell:6381861725</t>
  </si>
  <si>
    <t>semiya</t>
  </si>
  <si>
    <t>sambar powder</t>
  </si>
  <si>
    <t>Sgst</t>
  </si>
  <si>
    <t>Cgst</t>
  </si>
  <si>
    <t>Grand total</t>
  </si>
  <si>
    <t>Saved</t>
  </si>
  <si>
    <t>Subtotal</t>
  </si>
  <si>
    <t>total products</t>
  </si>
  <si>
    <t>Total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</si>
</sst>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9" x14ac:knownFonts="1">
    <font>
      <sz val="11"/>
      <color theme="1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b/>
      <i/>
      <sz val="20"/>
      <color theme="1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b/>
      <i/>
      <sz val="28"/>
      <color theme="0"/>
      <name val="Algerian"/>
      <family val="5"/>
    </font>
    <font>
      <b/>
      <sz val="26"/>
      <color theme="1"/>
      <name val="Century Gothic"/>
      <family val="2"/>
      <scheme val="minor"/>
    </font>
    <font>
      <sz val="11"/>
      <color rgb="FFFF0000"/>
      <name val="Arial Black"/>
      <family val="2"/>
    </font>
    <font>
      <i/>
      <sz val="11"/>
      <color rgb="FFFF0000"/>
      <name val="Arial Black"/>
      <family val="2"/>
    </font>
    <font>
      <b/>
      <sz val="11"/>
      <color theme="0"/>
      <name val="Arial Rounded MT Bold"/>
      <family val="2"/>
    </font>
    <font>
      <b/>
      <sz val="11"/>
      <color rgb="FFFF0000"/>
      <name val="Arial Black"/>
      <family val="2"/>
    </font>
    <font>
      <sz val="12"/>
      <color rgb="FF7030A0"/>
      <name val="Algerian"/>
      <family val="5"/>
    </font>
    <font>
      <sz val="11"/>
      <color theme="0"/>
      <name val="Century Gothic"/>
      <family val="2"/>
      <scheme val="minor"/>
    </font>
    <font>
      <b/>
      <i/>
      <sz val="18"/>
      <color theme="0"/>
      <name val="Algerian"/>
      <family val="5"/>
    </font>
    <font>
      <sz val="14"/>
      <color theme="0"/>
      <name val="Century Gothic"/>
      <family val="2"/>
      <scheme val="minor"/>
    </font>
    <font>
      <b/>
      <sz val="18"/>
      <color rgb="FF800080"/>
      <name val="Century Gothic"/>
      <family val="2"/>
    </font>
    <font>
      <sz val="11"/>
      <color rgb="FFFF0000"/>
      <name val="Century Gothic"/>
      <family val="2"/>
      <scheme val="minor"/>
    </font>
    <font>
      <sz val="11"/>
      <color rgb="FFC00000"/>
      <name val="Century Gothic"/>
      <family val="2"/>
      <scheme val="minor"/>
    </font>
    <font>
      <sz val="14"/>
      <color theme="1"/>
      <name val="Century Gothic"/>
      <family val="2"/>
      <scheme val="minor"/>
    </font>
    <font>
      <sz val="11"/>
      <color theme="1"/>
      <name val="Algerian"/>
      <family val="5"/>
    </font>
  </fonts>
  <fills count="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7030A0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0" fillId="0" borderId="0" xfId="0" applyAlignment="1">
      <alignment horizontal="left"/>
    </xf>
    <xf numFmtId="0" fontId="0" fillId="0" borderId="0" xfId="0"/>
    <xf numFmtId="0" fontId="3" fillId="2" borderId="0" xfId="0" applyFont="1" applyFill="1"/>
    <xf numFmtId="0" fontId="0" fillId="0" borderId="3" xfId="0" applyBorder="1"/>
    <xf numFmtId="0" fontId="0" fillId="0" borderId="0" xfId="0" applyBorder="1"/>
    <xf numFmtId="0" fontId="0" fillId="3" borderId="0" xfId="0" applyFill="1" applyBorder="1"/>
    <xf numFmtId="0" fontId="0" fillId="3" borderId="8" xfId="0" applyFill="1" applyBorder="1"/>
    <xf numFmtId="0" fontId="0" fillId="3" borderId="0" xfId="0" applyFill="1" applyBorder="1" applyAlignment="1">
      <alignment horizontal="left"/>
    </xf>
    <xf numFmtId="0" fontId="0" fillId="3" borderId="0" xfId="0" applyFill="1" applyBorder="1" applyAlignment="1"/>
    <xf numFmtId="0" fontId="0" fillId="3" borderId="9" xfId="0" applyFill="1" applyBorder="1"/>
    <xf numFmtId="0" fontId="0" fillId="3" borderId="0" xfId="0" applyFill="1" applyBorder="1" applyAlignment="1">
      <alignment horizontal="center"/>
    </xf>
    <xf numFmtId="0" fontId="0" fillId="3" borderId="4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2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3" xfId="0" applyFill="1" applyBorder="1"/>
    <xf numFmtId="0" fontId="8" fillId="4" borderId="4" xfId="0" applyFont="1" applyFill="1" applyBorder="1"/>
    <xf numFmtId="0" fontId="8" fillId="4" borderId="13" xfId="0" applyFont="1" applyFill="1" applyBorder="1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4" borderId="6" xfId="0" applyFill="1" applyBorder="1" applyAlignment="1">
      <alignment horizontal="left"/>
    </xf>
    <xf numFmtId="0" fontId="2" fillId="4" borderId="6" xfId="0" applyFont="1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6" xfId="0" applyFill="1" applyBorder="1" applyAlignment="1"/>
    <xf numFmtId="0" fontId="0" fillId="4" borderId="7" xfId="0" applyFill="1" applyBorder="1"/>
    <xf numFmtId="0" fontId="13" fillId="4" borderId="5" xfId="0" applyFont="1" applyFill="1" applyBorder="1" applyAlignment="1">
      <alignment horizontal="left"/>
    </xf>
    <xf numFmtId="0" fontId="11" fillId="4" borderId="0" xfId="0" applyFont="1" applyFill="1"/>
    <xf numFmtId="0" fontId="1" fillId="5" borderId="0" xfId="0" applyFont="1" applyFill="1"/>
    <xf numFmtId="164" fontId="0" fillId="3" borderId="0" xfId="0" applyNumberFormat="1" applyFill="1" applyBorder="1" applyAlignment="1"/>
    <xf numFmtId="0" fontId="9" fillId="3" borderId="0" xfId="0" applyFont="1" applyFill="1" applyBorder="1"/>
    <xf numFmtId="0" fontId="6" fillId="3" borderId="0" xfId="0" applyFont="1" applyFill="1" applyBorder="1"/>
    <xf numFmtId="0" fontId="7" fillId="3" borderId="0" xfId="0" applyFont="1" applyFill="1" applyBorder="1"/>
    <xf numFmtId="0" fontId="0" fillId="3" borderId="7" xfId="0" applyFill="1" applyBorder="1"/>
    <xf numFmtId="0" fontId="0" fillId="3" borderId="16" xfId="0" applyFill="1" applyBorder="1"/>
    <xf numFmtId="0" fontId="15" fillId="3" borderId="10" xfId="0" applyFont="1" applyFill="1" applyBorder="1"/>
    <xf numFmtId="0" fontId="16" fillId="3" borderId="5" xfId="0" applyFont="1" applyFill="1" applyBorder="1"/>
    <xf numFmtId="0" fontId="16" fillId="3" borderId="17" xfId="0" applyFont="1" applyFill="1" applyBorder="1"/>
    <xf numFmtId="0" fontId="10" fillId="6" borderId="0" xfId="0" applyFont="1" applyFill="1" applyBorder="1" applyAlignment="1">
      <alignment horizontal="center"/>
    </xf>
    <xf numFmtId="0" fontId="17" fillId="6" borderId="0" xfId="0" applyFont="1" applyFill="1" applyBorder="1" applyAlignment="1">
      <alignment horizontal="center"/>
    </xf>
    <xf numFmtId="0" fontId="0" fillId="7" borderId="0" xfId="0" applyFill="1" applyBorder="1"/>
    <xf numFmtId="0" fontId="18" fillId="7" borderId="0" xfId="0" applyFont="1" applyFill="1" applyBorder="1"/>
    <xf numFmtId="0" fontId="5" fillId="3" borderId="0" xfId="0" applyFon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12" fillId="4" borderId="8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</cellXfs>
  <cellStyles count="1">
    <cellStyle name="Normal" xfId="0" builtinId="0"/>
  </cellStyles>
  <dxfs count="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entury Gothic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CC00"/>
      <color rgb="FF489A10"/>
      <color rgb="FF00CC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iagrams/_rels/data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iagram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2D51142C-D4E2-4194-8E21-BBF94C85C4E7}" type="doc">
      <dgm:prSet loTypeId="urn:microsoft.com/office/officeart/2008/layout/CircularPictureCallout" loCatId="picture" qsTypeId="urn:microsoft.com/office/officeart/2005/8/quickstyle/simple5" qsCatId="simple" csTypeId="urn:microsoft.com/office/officeart/2005/8/colors/accent1_2" csCatId="accent1" phldr="1"/>
      <dgm:spPr/>
    </dgm:pt>
    <dgm:pt modelId="{F5BBB40D-FE06-46E8-B85C-56E4D3D8D360}">
      <dgm:prSet phldrT="[Text]" phldr="1"/>
      <dgm:spPr/>
      <dgm:t>
        <a:bodyPr/>
        <a:lstStyle/>
        <a:p>
          <a:endParaRPr lang="en-IN"/>
        </a:p>
      </dgm:t>
    </dgm:pt>
    <dgm:pt modelId="{79115E9C-4415-4B7C-ABC5-B8AA3A294A3B}" type="parTrans" cxnId="{DF8747E9-2D25-4498-86B2-EF716C4CA1A9}">
      <dgm:prSet/>
      <dgm:spPr/>
      <dgm:t>
        <a:bodyPr/>
        <a:lstStyle/>
        <a:p>
          <a:endParaRPr lang="en-IN"/>
        </a:p>
      </dgm:t>
    </dgm:pt>
    <dgm:pt modelId="{30ABD9C2-5ADA-448E-B6C2-399C3D73102C}" type="sibTrans" cxnId="{DF8747E9-2D25-4498-86B2-EF716C4CA1A9}">
      <dgm:prSet/>
      <dgm:spPr>
        <a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dgm:spPr>
      <dgm:t>
        <a:bodyPr/>
        <a:lstStyle/>
        <a:p>
          <a:endParaRPr lang="en-IN"/>
        </a:p>
      </dgm:t>
    </dgm:pt>
    <dgm:pt modelId="{DAB247F3-DF94-4ACF-88F8-1B164C6951FA}" type="pres">
      <dgm:prSet presAssocID="{2D51142C-D4E2-4194-8E21-BBF94C85C4E7}" presName="Name0" presStyleCnt="0">
        <dgm:presLayoutVars>
          <dgm:chMax val="7"/>
          <dgm:chPref val="7"/>
          <dgm:dir/>
        </dgm:presLayoutVars>
      </dgm:prSet>
      <dgm:spPr/>
    </dgm:pt>
    <dgm:pt modelId="{16152D8B-FAF6-447B-A5BD-0F18DFAE724E}" type="pres">
      <dgm:prSet presAssocID="{2D51142C-D4E2-4194-8E21-BBF94C85C4E7}" presName="Name1" presStyleCnt="0"/>
      <dgm:spPr/>
    </dgm:pt>
    <dgm:pt modelId="{8ADABE6A-3597-49EF-B8C1-1442AB698CD3}" type="pres">
      <dgm:prSet presAssocID="{30ABD9C2-5ADA-448E-B6C2-399C3D73102C}" presName="picture_1" presStyleCnt="0"/>
      <dgm:spPr/>
    </dgm:pt>
    <dgm:pt modelId="{28CFFDBF-2BF1-425C-BF51-4DFFED46EA88}" type="pres">
      <dgm:prSet presAssocID="{30ABD9C2-5ADA-448E-B6C2-399C3D73102C}" presName="pictureRepeatNode" presStyleLbl="alignImgPlace1" presStyleIdx="0" presStyleCnt="1" custScaleX="201850" custLinFactNeighborX="-15789" custLinFactNeighborY="10526"/>
      <dgm:spPr/>
      <dgm:t>
        <a:bodyPr/>
        <a:lstStyle/>
        <a:p>
          <a:endParaRPr lang="en-IN"/>
        </a:p>
      </dgm:t>
    </dgm:pt>
    <dgm:pt modelId="{FA756989-67B0-4D70-977B-86016EDD0109}" type="pres">
      <dgm:prSet presAssocID="{F5BBB40D-FE06-46E8-B85C-56E4D3D8D360}" presName="text_1" presStyleLbl="node1" presStyleIdx="0" presStyleCnt="0">
        <dgm:presLayoutVars>
          <dgm:bulletEnabled val="1"/>
        </dgm:presLayoutVars>
      </dgm:prSet>
      <dgm:spPr/>
      <dgm:t>
        <a:bodyPr/>
        <a:lstStyle/>
        <a:p>
          <a:endParaRPr lang="en-IN"/>
        </a:p>
      </dgm:t>
    </dgm:pt>
  </dgm:ptLst>
  <dgm:cxnLst>
    <dgm:cxn modelId="{DF8747E9-2D25-4498-86B2-EF716C4CA1A9}" srcId="{2D51142C-D4E2-4194-8E21-BBF94C85C4E7}" destId="{F5BBB40D-FE06-46E8-B85C-56E4D3D8D360}" srcOrd="0" destOrd="0" parTransId="{79115E9C-4415-4B7C-ABC5-B8AA3A294A3B}" sibTransId="{30ABD9C2-5ADA-448E-B6C2-399C3D73102C}"/>
    <dgm:cxn modelId="{36A60A03-B761-4275-B55A-C23952EFC5A5}" type="presOf" srcId="{2D51142C-D4E2-4194-8E21-BBF94C85C4E7}" destId="{DAB247F3-DF94-4ACF-88F8-1B164C6951FA}" srcOrd="0" destOrd="0" presId="urn:microsoft.com/office/officeart/2008/layout/CircularPictureCallout"/>
    <dgm:cxn modelId="{6E5C3BBD-3737-4244-8E2E-38A1B3593602}" type="presOf" srcId="{30ABD9C2-5ADA-448E-B6C2-399C3D73102C}" destId="{28CFFDBF-2BF1-425C-BF51-4DFFED46EA88}" srcOrd="0" destOrd="0" presId="urn:microsoft.com/office/officeart/2008/layout/CircularPictureCallout"/>
    <dgm:cxn modelId="{FC1E3412-F4DD-4E66-9397-A89EE8FAFFB4}" type="presOf" srcId="{F5BBB40D-FE06-46E8-B85C-56E4D3D8D360}" destId="{FA756989-67B0-4D70-977B-86016EDD0109}" srcOrd="0" destOrd="0" presId="urn:microsoft.com/office/officeart/2008/layout/CircularPictureCallout"/>
    <dgm:cxn modelId="{8B15F536-E1FB-4966-B8DA-C90ECD0E1AFC}" type="presParOf" srcId="{DAB247F3-DF94-4ACF-88F8-1B164C6951FA}" destId="{16152D8B-FAF6-447B-A5BD-0F18DFAE724E}" srcOrd="0" destOrd="0" presId="urn:microsoft.com/office/officeart/2008/layout/CircularPictureCallout"/>
    <dgm:cxn modelId="{CA486458-586E-494C-A835-C924EB513FCB}" type="presParOf" srcId="{16152D8B-FAF6-447B-A5BD-0F18DFAE724E}" destId="{8ADABE6A-3597-49EF-B8C1-1442AB698CD3}" srcOrd="0" destOrd="0" presId="urn:microsoft.com/office/officeart/2008/layout/CircularPictureCallout"/>
    <dgm:cxn modelId="{0B50F410-0408-4146-885A-136B941BAB1D}" type="presParOf" srcId="{8ADABE6A-3597-49EF-B8C1-1442AB698CD3}" destId="{28CFFDBF-2BF1-425C-BF51-4DFFED46EA88}" srcOrd="0" destOrd="0" presId="urn:microsoft.com/office/officeart/2008/layout/CircularPictureCallout"/>
    <dgm:cxn modelId="{15E22695-8DDE-4587-A6AE-5A5CE39EECD7}" type="presParOf" srcId="{16152D8B-FAF6-447B-A5BD-0F18DFAE724E}" destId="{FA756989-67B0-4D70-977B-86016EDD0109}" srcOrd="1" destOrd="0" presId="urn:microsoft.com/office/officeart/2008/layout/CircularPictureCallou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28CFFDBF-2BF1-425C-BF51-4DFFED46EA88}">
      <dsp:nvSpPr>
        <dsp:cNvPr id="0" name=""/>
        <dsp:cNvSpPr/>
      </dsp:nvSpPr>
      <dsp:spPr>
        <a:xfrm>
          <a:off x="68098" y="0"/>
          <a:ext cx="849534" cy="420874"/>
        </a:xfrm>
        <a:prstGeom prst="ellipse">
          <a:avLst/>
        </a:prstGeom>
        <a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  <a:effectLst>
          <a:outerShdw blurRad="50800" dist="38100" dir="5400000" rotWithShape="0">
            <a:srgbClr val="000000">
              <a:alpha val="46000"/>
            </a:srgbClr>
          </a:outerShdw>
        </a:effectLst>
        <a:scene3d>
          <a:camera prst="orthographicFront">
            <a:rot lat="0" lon="0" rev="0"/>
          </a:camera>
          <a:lightRig rig="threePt" dir="t"/>
        </a:scene3d>
        <a:sp3d prstMaterial="plastic">
          <a:bevelT w="25400" h="25400"/>
        </a:sp3d>
      </dsp:spPr>
      <dsp:style>
        <a:lnRef idx="0">
          <a:scrgbClr r="0" g="0" b="0"/>
        </a:lnRef>
        <a:fillRef idx="1">
          <a:scrgbClr r="0" g="0" b="0"/>
        </a:fillRef>
        <a:effectRef idx="3">
          <a:scrgbClr r="0" g="0" b="0"/>
        </a:effectRef>
        <a:fontRef idx="minor"/>
      </dsp:style>
    </dsp:sp>
    <dsp:sp modelId="{FA756989-67B0-4D70-977B-86016EDD0109}">
      <dsp:nvSpPr>
        <dsp:cNvPr id="0" name=""/>
        <dsp:cNvSpPr/>
      </dsp:nvSpPr>
      <dsp:spPr>
        <a:xfrm>
          <a:off x="424637" y="223484"/>
          <a:ext cx="269359" cy="138888"/>
        </a:xfrm>
        <a:prstGeom prst="rect">
          <a:avLst/>
        </a:prstGeom>
        <a:noFill/>
        <a:ln>
          <a:noFill/>
        </a:ln>
        <a:effectLst>
          <a:outerShdw blurRad="50800" dist="38100" dir="5400000" rotWithShape="0">
            <a:srgbClr val="000000">
              <a:alpha val="46000"/>
            </a:srgbClr>
          </a:outerShdw>
        </a:effectLst>
        <a:scene3d>
          <a:camera prst="orthographicFront">
            <a:rot lat="0" lon="0" rev="0"/>
          </a:camera>
          <a:lightRig rig="threePt" dir="t"/>
        </a:scene3d>
        <a:sp3d/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b" anchorCtr="0">
          <a:noAutofit/>
        </a:bodyPr>
        <a:lstStyle/>
        <a:p>
          <a:pPr lvl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IN" sz="800" kern="1200"/>
        </a:p>
      </dsp:txBody>
      <dsp:txXfrm>
        <a:off x="424637" y="223484"/>
        <a:ext cx="269359" cy="138888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CircularPictureCallout">
  <dgm:title val=""/>
  <dgm:desc val=""/>
  <dgm:catLst>
    <dgm:cat type="picture" pri="2000"/>
    <dgm:cat type="pictureconvert" pri="2000"/>
  </dgm:catLst>
  <dgm:sampData>
    <dgm:dataModel>
      <dgm:ptLst>
        <dgm:pt modelId="0" type="doc"/>
        <dgm:pt modelId="1"/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chMax val="7"/>
      <dgm:chPref val="7"/>
      <dgm:dir/>
    </dgm:varLst>
    <dgm:alg type="composite"/>
    <dgm:shape xmlns:r="http://schemas.openxmlformats.org/officeDocument/2006/relationships" r:blip="">
      <dgm:adjLst/>
    </dgm:shape>
    <dgm:constrLst>
      <dgm:constr type="w" for="ch" refType="h" refFor="ch" op="gte" fact="2"/>
    </dgm:constrLst>
    <dgm:layoutNode name="Name1">
      <dgm:alg type="composite"/>
      <dgm:shape xmlns:r="http://schemas.openxmlformats.org/officeDocument/2006/relationships" r:blip="">
        <dgm:adjLst/>
      </dgm:shape>
      <dgm:choose name="Name2">
        <dgm:if name="Name3" axis="ch" ptType="node" func="cnt" op="lte" val="1">
          <dgm:constrLst>
            <dgm:constr type="h" for="ch" forName="picture_1" refType="h"/>
            <dgm:constr type="w" for="ch" forName="picture_1" refType="h" refFor="ch" refForName="picture_1" op="equ"/>
            <dgm:constr type="l" for="ch" forName="picture_1"/>
            <dgm:constr type="t" for="ch" forName="picture_1"/>
            <dgm:constr type="w" for="ch" forName="text_1" refType="w" refFor="ch" refForName="picture_1" fact="0.64"/>
            <dgm:constr type="h" for="ch" forName="text_1" refType="h" refFor="ch" refForName="picture_1" fact="0.33"/>
            <dgm:constr type="l" for="ch" forName="text_1" refType="w" refFor="ch" refForName="picture_1" fact="0.18"/>
            <dgm:constr type="t" for="ch" forName="text_1" refType="h" refFor="ch" refForName="picture_1" fact="0.531"/>
          </dgm:constrLst>
        </dgm:if>
        <dgm:if name="Name4" axis="ch" ptType="node" func="cnt" op="lte" val="2">
          <dgm:choose name="Name5">
            <dgm:if name="Name6" func="var" arg="dir" op="equ" val="norm">
              <dgm:constrLst>
                <dgm:constr type="h" for="ch" forName="picture_1" refType="h"/>
                <dgm:constr type="w" for="ch" forName="picture_1" refType="h" refFor="ch" refForName="picture_1" op="equ"/>
                <dgm:constr type="l" for="ch" forName="picture_1"/>
                <dgm:constr type="t" for="ch" forName="picture_1"/>
                <dgm:constr type="w" for="ch" forName="text_1" refType="w" refFor="ch" refForName="picture_1" fact="0.64"/>
                <dgm:constr type="h" for="ch" forName="text_1" refType="h" refFor="ch" refForName="picture_1" fact="0.33"/>
                <dgm:constr type="l" for="ch" forName="text_1" refType="l" refFor="ch" refForName="picture_1"/>
                <dgm:constr type="lOff" for="ch" forName="text_1" refType="w" refFor="ch" refForName="picture_1" fact="0.18"/>
                <dgm:constr type="t" for="ch" forName="text_1" refType="h" refFor="ch" refForName="picture_1" fact="0.531"/>
                <dgm:constr type="w" for="ch" forName="picture_2" refType="w" refFor="ch" refForName="picture_1" fact="0.5"/>
                <dgm:constr type="h" for="ch" forName="picture_2" refType="h" refFor="ch" refForName="picture_1" fact="0.5"/>
                <dgm:constr type="l" for="ch" forName="picture_2" refType="w" refFor="ch" refForName="picture_1" fact="1.21"/>
                <dgm:constr type="ctrY" for="ch" forName="picture_2" refType="h" refFor="ch" refForName="picture_1" fact="0.5"/>
                <dgm:constr type="l" for="ch" forName="line_2" refType="ctrX" refFor="ch" refForName="picture_1"/>
                <dgm:constr type="h" for="ch" forName="line_2"/>
                <dgm:constr type="r" for="ch" forName="line_2" refType="ctrX" refFor="ch" refForName="picture_2"/>
                <dgm:constr type="ctrY" for="ch" forName="line_2" refType="ctrY" refFor="ch" refForName="picture_2"/>
                <dgm:constr type="r" for="ch" forName="textparent_2" refType="w"/>
                <dgm:constr type="h" for="ch" forName="textparent_2" refType="h" refFor="ch" refForName="picture_2"/>
                <dgm:constr type="l" for="ch" forName="textparent_2" refType="r" refFor="ch" refForName="picture_2"/>
                <dgm:constr type="ctrY" for="ch" forName="textparent_2" refType="ctrY" refFor="ch" refForName="picture_2"/>
                <dgm:constr type="primFontSz" for="des" forName="text_2" val="65"/>
              </dgm:constrLst>
            </dgm:if>
            <dgm:else name="Name7">
              <dgm:constrLst>
                <dgm:constr type="h" for="ch" forName="picture_1" refType="h"/>
                <dgm:constr type="w" for="ch" forName="picture_1" refType="h" refFor="ch" refForName="picture_1" op="equ"/>
                <dgm:constr type="r" for="ch" forName="picture_1" refType="w"/>
                <dgm:constr type="t" for="ch" forName="picture_1"/>
                <dgm:constr type="w" for="ch" forName="text_1" refType="w" refFor="ch" refForName="picture_1" fact="0.64"/>
                <dgm:constr type="h" for="ch" forName="text_1" refType="h" refFor="ch" refForName="picture_1" fact="0.33"/>
                <dgm:constr type="l" for="ch" forName="text_1" refType="l" refFor="ch" refForName="picture_1"/>
                <dgm:constr type="lOff" for="ch" forName="text_1" refType="w" refFor="ch" refForName="picture_1" fact="0.18"/>
                <dgm:constr type="t" for="ch" forName="text_1" refType="h" refFor="ch" refForName="picture_1" fact="0.531"/>
                <dgm:constr type="w" for="ch" forName="picture_2" refType="w" refFor="ch" refForName="picture_1" fact="0.5"/>
                <dgm:constr type="h" for="ch" forName="picture_2" refType="h" refFor="ch" refForName="picture_1" fact="0.5"/>
                <dgm:constr type="r" for="ch" forName="picture_2" refType="w"/>
                <dgm:constr type="rOff" for="ch" forName="picture_2" refType="w" refFor="ch" refForName="picture_1" fact="-1.21"/>
                <dgm:constr type="ctrY" for="ch" forName="picture_2" refType="h" refFor="ch" refForName="picture_1" fact="0.5"/>
                <dgm:constr type="r" for="ch" forName="line_2" refType="ctrX" refFor="ch" refForName="picture_1"/>
                <dgm:constr type="h" for="ch" forName="line_2"/>
                <dgm:constr type="l" for="ch" forName="line_2" refType="ctrX" refFor="ch" refForName="picture_2"/>
                <dgm:constr type="ctrY" for="ch" forName="line_2" refType="ctrY" refFor="ch" refForName="picture_2"/>
                <dgm:constr type="l" for="ch" forName="textparent_2"/>
                <dgm:constr type="h" for="ch" forName="textparent_2" refType="h" refFor="ch" refForName="picture_2"/>
                <dgm:constr type="r" for="ch" forName="textparent_2" refType="l" refFor="ch" refForName="picture_2"/>
                <dgm:constr type="ctrY" for="ch" forName="textparent_2" refType="ctrY" refFor="ch" refForName="picture_2"/>
                <dgm:constr type="primFontSz" for="des" forName="text_2" val="65"/>
              </dgm:constrLst>
            </dgm:else>
          </dgm:choose>
        </dgm:if>
        <dgm:if name="Name8" axis="ch" ptType="node" func="cnt" op="lte" val="3">
          <dgm:choose name="Name9">
            <dgm:if name="Name10" func="var" arg="dir" op="equ" val="norm">
              <dgm:constrLst>
                <dgm:constr type="h" for="ch" forName="picture_1" refType="h"/>
                <dgm:constr type="w" for="ch" forName="picture_1" refType="h" refFor="ch" refForName="picture_1" op="equ"/>
                <dgm:constr type="l" for="ch" forName="picture_1"/>
                <dgm:constr type="t" for="ch" forName="picture_1"/>
                <dgm:constr type="w" for="ch" forName="text_1" refType="w" refFor="ch" refForName="picture_1" fact="0.64"/>
                <dgm:constr type="h" for="ch" forName="text_1" refType="h" refFor="ch" refForName="picture_1" fact="0.33"/>
                <dgm:constr type="l" for="ch" forName="text_1" refType="l" refFor="ch" refForName="picture_1"/>
                <dgm:constr type="lOff" for="ch" forName="text_1" refType="w" refFor="ch" refForName="picture_1" fact="0.18"/>
                <dgm:constr type="t" for="ch" forName="text_1" refType="h" refFor="ch" refForName="picture_1" fact="0.531"/>
                <dgm:constr type="w" for="ch" forName="picture_2" refType="w" refFor="ch" refForName="picture_1" fact="0.375"/>
                <dgm:constr type="h" for="ch" forName="picture_2" refType="h" refFor="ch" refForName="picture_1" fact="0.375"/>
                <dgm:constr type="l" for="ch" forName="picture_2" refType="w" refFor="ch" refForName="picture_1" fact="1.21"/>
                <dgm:constr type="ctrY" for="ch" forName="picture_2" refType="h" refFor="ch" refForName="picture_1" fact="0.1875"/>
                <dgm:constr type="l" for="ch" forName="line_2" refType="ctrX" refFor="ch" refForName="picture_1"/>
                <dgm:constr type="h" for="ch" forName="line_2"/>
                <dgm:constr type="r" for="ch" forName="line_2" refType="ctrX" refFor="ch" refForName="picture_2"/>
                <dgm:constr type="ctrY" for="ch" forName="line_2" refType="ctrY" refFor="ch" refForName="picture_2"/>
                <dgm:constr type="r" for="ch" forName="textparent_2" refType="w"/>
                <dgm:constr type="h" for="ch" forName="textparent_2" refType="h" refFor="ch" refForName="picture_2"/>
                <dgm:constr type="l" for="ch" forName="textparent_2" refType="r" refFor="ch" refForName="picture_2"/>
                <dgm:constr type="ctrY" for="ch" forName="textparent_2" refType="ctrY" refFor="ch" refForName="picture_2"/>
                <dgm:constr type="primFontSz" for="des" forName="text_2" val="65"/>
                <dgm:constr type="w" for="ch" forName="picture_3" refType="w" refFor="ch" refForName="picture_1" fact="0.375"/>
                <dgm:constr type="h" for="ch" forName="picture_3" refType="h" refFor="ch" refForName="picture_1" fact="0.375"/>
                <dgm:constr type="l" for="ch" forName="picture_3" refType="w" refFor="ch" refForName="picture_1" fact="1.21"/>
                <dgm:constr type="ctrY" for="ch" forName="picture_3" refType="h" refFor="ch" refForName="picture_1" fact="0.8125"/>
                <dgm:constr type="l" for="ch" forName="line_3" refType="ctrX" refFor="ch" refForName="picture_1"/>
                <dgm:constr type="h" for="ch" forName="line_3"/>
                <dgm:constr type="r" for="ch" forName="line_3" refType="ctrX" refFor="ch" refForName="picture_3"/>
                <dgm:constr type="ctrY" for="ch" forName="line_3" refType="ctrY" refFor="ch" refForName="picture_3"/>
                <dgm:constr type="r" for="ch" forName="textparent_3" refType="w"/>
                <dgm:constr type="h" for="ch" forName="textparent_3" refType="h" refFor="ch" refForName="picture_3"/>
                <dgm:constr type="l" for="ch" forName="textparent_3" refType="r" refFor="ch" refForName="picture_3"/>
                <dgm:constr type="ctrY" for="ch" forName="textparent_3" refType="ctrY" refFor="ch" refForName="picture_3"/>
                <dgm:constr type="primFontSz" for="des" forName="text_3" refType="primFontSz" refFor="des" refForName="text_2" op="equ"/>
              </dgm:constrLst>
            </dgm:if>
            <dgm:else name="Name11">
              <dgm:constrLst>
                <dgm:constr type="h" for="ch" forName="picture_1" refType="h"/>
                <dgm:constr type="w" for="ch" forName="picture_1" refType="h" refFor="ch" refForName="picture_1" op="equ"/>
                <dgm:constr type="r" for="ch" forName="picture_1" refType="w"/>
                <dgm:constr type="t" for="ch" forName="picture_1"/>
                <dgm:constr type="w" for="ch" forName="text_1" refType="w" refFor="ch" refForName="picture_1" fact="0.64"/>
                <dgm:constr type="h" for="ch" forName="text_1" refType="h" refFor="ch" refForName="picture_1" fact="0.33"/>
                <dgm:constr type="l" for="ch" forName="text_1" refType="l" refFor="ch" refForName="picture_1"/>
                <dgm:constr type="lOff" for="ch" forName="text_1" refType="w" refFor="ch" refForName="picture_1" fact="0.18"/>
                <dgm:constr type="t" for="ch" forName="text_1" refType="h" refFor="ch" refForName="picture_1" fact="0.531"/>
                <dgm:constr type="w" for="ch" forName="picture_2" refType="w" refFor="ch" refForName="picture_1" fact="0.375"/>
                <dgm:constr type="h" for="ch" forName="picture_2" refType="h" refFor="ch" refForName="picture_1" fact="0.375"/>
                <dgm:constr type="r" for="ch" forName="picture_2" refType="w"/>
                <dgm:constr type="rOff" for="ch" forName="picture_2" refType="w" refFor="ch" refForName="picture_1" fact="-1.21"/>
                <dgm:constr type="ctrY" for="ch" forName="picture_2" refType="h" refFor="ch" refForName="picture_1" fact="0.1875"/>
                <dgm:constr type="r" for="ch" forName="line_2" refType="ctrX" refFor="ch" refForName="picture_1"/>
                <dgm:constr type="h" for="ch" forName="line_2"/>
                <dgm:constr type="l" for="ch" forName="line_2" refType="ctrX" refFor="ch" refForName="picture_2"/>
                <dgm:constr type="ctrY" for="ch" forName="line_2" refType="ctrY" refFor="ch" refForName="picture_2"/>
                <dgm:constr type="l" for="ch" forName="textparent_2"/>
                <dgm:constr type="h" for="ch" forName="textparent_2" refType="h" refFor="ch" refForName="picture_2"/>
                <dgm:constr type="r" for="ch" forName="textparent_2" refType="l" refFor="ch" refForName="picture_2"/>
                <dgm:constr type="ctrY" for="ch" forName="textparent_2" refType="ctrY" refFor="ch" refForName="picture_2"/>
                <dgm:constr type="primFontSz" for="des" forName="text_2" val="65"/>
                <dgm:constr type="w" for="ch" forName="picture_3" refType="w" refFor="ch" refForName="picture_1" fact="0.375"/>
                <dgm:constr type="h" for="ch" forName="picture_3" refType="h" refFor="ch" refForName="picture_1" fact="0.375"/>
                <dgm:constr type="r" for="ch" forName="picture_3" refType="w"/>
                <dgm:constr type="rOff" for="ch" forName="picture_3" refType="w" refFor="ch" refForName="picture_1" fact="-1.21"/>
                <dgm:constr type="ctrY" for="ch" forName="picture_3" refType="h" refFor="ch" refForName="picture_1" fact="0.8125"/>
                <dgm:constr type="r" for="ch" forName="line_3" refType="ctrX" refFor="ch" refForName="picture_1"/>
                <dgm:constr type="h" for="ch" forName="line_3"/>
                <dgm:constr type="l" for="ch" forName="line_3" refType="ctrX" refFor="ch" refForName="picture_3"/>
                <dgm:constr type="ctrY" for="ch" forName="line_3" refType="ctrY" refFor="ch" refForName="picture_3"/>
                <dgm:constr type="l" for="ch" forName="textparent_3"/>
                <dgm:constr type="h" for="ch" forName="textparent_3" refType="h" refFor="ch" refForName="picture_3"/>
                <dgm:constr type="r" for="ch" forName="textparent_3" refType="l" refFor="ch" refForName="picture_3"/>
                <dgm:constr type="ctrY" for="ch" forName="textparent_3" refType="ctrY" refFor="ch" refForName="picture_3"/>
                <dgm:constr type="primFontSz" for="des" forName="text_3" refType="primFontSz" refFor="des" refForName="text_2" op="equ"/>
              </dgm:constrLst>
            </dgm:else>
          </dgm:choose>
        </dgm:if>
        <dgm:if name="Name12" axis="ch" ptType="node" func="cnt" op="lte" val="4">
          <dgm:choose name="Name13">
            <dgm:if name="Name14" func="var" arg="dir" op="equ" val="norm">
              <dgm:constrLst>
                <dgm:constr type="h" for="ch" forName="picture_1" refType="h"/>
                <dgm:constr type="w" for="ch" forName="picture_1" refType="h" refFor="ch" refForName="picture_1" op="equ"/>
                <dgm:constr type="l" for="ch" forName="picture_1"/>
                <dgm:constr type="t" for="ch" forName="picture_1"/>
                <dgm:constr type="w" for="ch" forName="text_1" refType="w" refFor="ch" refForName="picture_1" fact="0.64"/>
                <dgm:constr type="h" for="ch" forName="text_1" refType="h" refFor="ch" refForName="picture_1" fact="0.33"/>
                <dgm:constr type="l" for="ch" forName="text_1" refType="l" refFor="ch" refForName="picture_1"/>
                <dgm:constr type="lOff" for="ch" forName="text_1" refType="w" refFor="ch" refForName="picture_1" fact="0.18"/>
                <dgm:constr type="t" for="ch" forName="text_1" refType="h" refFor="ch" refForName="picture_1" fact="0.531"/>
                <dgm:constr type="w" for="ch" forName="picture_2" refType="w" refFor="ch" refForName="picture_1" fact="0.3"/>
                <dgm:constr type="h" for="ch" forName="picture_2" refType="h" refFor="ch" refForName="picture_1" fact="0.3"/>
                <dgm:constr type="l" for="ch" forName="picture_2" refType="w" refFor="ch" refForName="picture_1" fact="1.354"/>
                <dgm:constr type="ctrY" for="ch" forName="picture_2" refType="h" refFor="ch" refForName="picture_1" fact="0.15"/>
                <dgm:constr type="l" for="ch" forName="line_2" refType="ctrX" refFor="ch" refForName="picture_1"/>
                <dgm:constr type="h" for="ch" forName="line_2"/>
                <dgm:constr type="r" for="ch" forName="line_2" refType="ctrX" refFor="ch" refForName="picture_2"/>
                <dgm:constr type="ctrY" for="ch" forName="line_2" refType="ctrY" refFor="ch" refForName="picture_2"/>
                <dgm:constr type="r" for="ch" forName="textparent_2" refType="w"/>
                <dgm:constr type="h" for="ch" forName="textparent_2" refType="h" refFor="ch" refForName="picture_2"/>
                <dgm:constr type="l" for="ch" forName="textparent_2" refType="r" refFor="ch" refForName="picture_2"/>
                <dgm:constr type="ctrY" for="ch" forName="textparent_2" refType="ctrY" refFor="ch" refForName="picture_2"/>
                <dgm:constr type="primFontSz" for="des" forName="text_2" val="65"/>
                <dgm:constr type="w" for="ch" forName="picture_3" refType="w" refFor="ch" refForName="picture_1" fact="0.3"/>
                <dgm:constr type="h" for="ch" forName="picture_3" refType="h" refFor="ch" refForName="picture_1" fact="0.3"/>
                <dgm:constr type="l" for="ch" forName="picture_3" refType="w" refFor="ch" refForName="picture_1" fact="1.21"/>
                <dgm:constr type="ctrY" for="ch" forName="picture_3" refType="h" refFor="ch" refForName="picture_1" fact="0.5"/>
                <dgm:constr type="l" for="ch" forName="line_3" refType="ctrX" refFor="ch" refForName="picture_1"/>
                <dgm:constr type="h" for="ch" forName="line_3"/>
                <dgm:constr type="r" for="ch" forName="line_3" refType="ctrX" refFor="ch" refForName="picture_3"/>
                <dgm:constr type="ctrY" for="ch" forName="line_3" refType="ctrY" refFor="ch" refForName="picture_3"/>
                <dgm:constr type="r" for="ch" forName="textparent_3" refType="w"/>
                <dgm:constr type="h" for="ch" forName="textparent_3" refType="h" refFor="ch" refForName="picture_3"/>
                <dgm:constr type="l" for="ch" forName="textparent_3" refType="r" refFor="ch" refForName="picture_3"/>
                <dgm:constr type="ctrY" for="ch" forName="textparent_3" refType="ctrY" refFor="ch" refForName="picture_3"/>
                <dgm:constr type="primFontSz" for="des" forName="text_3" refType="primFontSz" refFor="des" refForName="text_2" op="equ"/>
                <dgm:constr type="w" for="ch" forName="picture_4" refType="w" refFor="ch" refForName="picture_1" fact="0.3"/>
                <dgm:constr type="h" for="ch" forName="picture_4" refType="h" refFor="ch" refForName="picture_1" fact="0.3"/>
                <dgm:constr type="l" for="ch" forName="picture_4" refType="w" refFor="ch" refForName="picture_1" fact="1.354"/>
                <dgm:constr type="ctrY" for="ch" forName="picture_4" refType="h" refFor="ch" refForName="picture_1" fact="0.85"/>
                <dgm:constr type="l" for="ch" forName="line_4" refType="ctrX" refFor="ch" refForName="picture_1"/>
                <dgm:constr type="h" for="ch" forName="line_4"/>
                <dgm:constr type="r" for="ch" forName="line_4" refType="ctrX" refFor="ch" refForName="picture_4"/>
                <dgm:constr type="ctrY" for="ch" forName="line_4" refType="ctrY" refFor="ch" refForName="picture_4"/>
                <dgm:constr type="r" for="ch" forName="textparent_4" refType="w"/>
                <dgm:constr type="h" for="ch" forName="textparent_4" refType="h" refFor="ch" refForName="picture_4"/>
                <dgm:constr type="l" for="ch" forName="textparent_4" refType="r" refFor="ch" refForName="picture_4"/>
                <dgm:constr type="ctrY" for="ch" forName="textparent_4" refType="ctrY" refFor="ch" refForName="picture_4"/>
                <dgm:constr type="primFontSz" for="des" forName="text_4" refType="primFontSz" refFor="des" refForName="text_2" op="equ"/>
              </dgm:constrLst>
            </dgm:if>
            <dgm:else name="Name15">
              <dgm:constrLst>
                <dgm:constr type="h" for="ch" forName="picture_1" refType="h"/>
                <dgm:constr type="w" for="ch" forName="picture_1" refType="h" refFor="ch" refForName="picture_1" op="equ"/>
                <dgm:constr type="r" for="ch" forName="picture_1" refType="w"/>
                <dgm:constr type="t" for="ch" forName="picture_1"/>
                <dgm:constr type="w" for="ch" forName="text_1" refType="w" refFor="ch" refForName="picture_1" fact="0.64"/>
                <dgm:constr type="h" for="ch" forName="text_1" refType="h" refFor="ch" refForName="picture_1" fact="0.33"/>
                <dgm:constr type="l" for="ch" forName="text_1" refType="l" refFor="ch" refForName="picture_1"/>
                <dgm:constr type="lOff" for="ch" forName="text_1" refType="w" refFor="ch" refForName="picture_1" fact="0.18"/>
                <dgm:constr type="t" for="ch" forName="text_1" refType="h" refFor="ch" refForName="picture_1" fact="0.531"/>
                <dgm:constr type="w" for="ch" forName="picture_2" refType="w" refFor="ch" refForName="picture_1" fact="0.3"/>
                <dgm:constr type="h" for="ch" forName="picture_2" refType="h" refFor="ch" refForName="picture_1" fact="0.3"/>
                <dgm:constr type="r" for="ch" forName="picture_2" refType="w"/>
                <dgm:constr type="rOff" for="ch" forName="picture_2" refType="w" refFor="ch" refForName="picture_1" fact="-1.354"/>
                <dgm:constr type="ctrY" for="ch" forName="picture_2" refType="h" refFor="ch" refForName="picture_1" fact="0.15"/>
                <dgm:constr type="r" for="ch" forName="line_2" refType="ctrX" refFor="ch" refForName="picture_1"/>
                <dgm:constr type="h" for="ch" forName="line_2"/>
                <dgm:constr type="l" for="ch" forName="line_2" refType="ctrX" refFor="ch" refForName="picture_2"/>
                <dgm:constr type="ctrY" for="ch" forName="line_2" refType="ctrY" refFor="ch" refForName="picture_2"/>
                <dgm:constr type="l" for="ch" forName="textparent_2"/>
                <dgm:constr type="h" for="ch" forName="textparent_2" refType="h" refFor="ch" refForName="picture_2"/>
                <dgm:constr type="r" for="ch" forName="textparent_2" refType="l" refFor="ch" refForName="picture_2"/>
                <dgm:constr type="ctrY" for="ch" forName="textparent_2" refType="ctrY" refFor="ch" refForName="picture_2"/>
                <dgm:constr type="primFontSz" for="des" forName="text_2" val="65"/>
                <dgm:constr type="w" for="ch" forName="picture_3" refType="w" refFor="ch" refForName="picture_1" fact="0.3"/>
                <dgm:constr type="h" for="ch" forName="picture_3" refType="h" refFor="ch" refForName="picture_1" fact="0.3"/>
                <dgm:constr type="r" for="ch" forName="picture_3" refType="w"/>
                <dgm:constr type="rOff" for="ch" forName="picture_3" refType="w" refFor="ch" refForName="picture_1" fact="-1.21"/>
                <dgm:constr type="ctrY" for="ch" forName="picture_3" refType="h" refFor="ch" refForName="picture_1" fact="0.5"/>
                <dgm:constr type="r" for="ch" forName="line_3" refType="ctrX" refFor="ch" refForName="picture_1"/>
                <dgm:constr type="h" for="ch" forName="line_3"/>
                <dgm:constr type="l" for="ch" forName="line_3" refType="ctrX" refFor="ch" refForName="picture_3"/>
                <dgm:constr type="ctrY" for="ch" forName="line_3" refType="ctrY" refFor="ch" refForName="picture_3"/>
                <dgm:constr type="l" for="ch" forName="textparent_3"/>
                <dgm:constr type="h" for="ch" forName="textparent_3" refType="h" refFor="ch" refForName="picture_3"/>
                <dgm:constr type="r" for="ch" forName="textparent_3" refType="l" refFor="ch" refForName="picture_3"/>
                <dgm:constr type="ctrY" for="ch" forName="textparent_3" refType="ctrY" refFor="ch" refForName="picture_3"/>
                <dgm:constr type="primFontSz" for="des" forName="text_3" refType="primFontSz" refFor="des" refForName="text_2" op="equ"/>
                <dgm:constr type="w" for="ch" forName="picture_4" refType="w" refFor="ch" refForName="picture_1" fact="0.3"/>
                <dgm:constr type="h" for="ch" forName="picture_4" refType="h" refFor="ch" refForName="picture_1" fact="0.3"/>
                <dgm:constr type="r" for="ch" forName="picture_4" refType="w"/>
                <dgm:constr type="rOff" for="ch" forName="picture_4" refType="w" refFor="ch" refForName="picture_1" fact="-1.354"/>
                <dgm:constr type="ctrY" for="ch" forName="picture_4" refType="h" refFor="ch" refForName="picture_1" fact="0.85"/>
                <dgm:constr type="r" for="ch" forName="line_4" refType="ctrX" refFor="ch" refForName="picture_1"/>
                <dgm:constr type="h" for="ch" forName="line_4"/>
                <dgm:constr type="l" for="ch" forName="line_4" refType="ctrX" refFor="ch" refForName="picture_4"/>
                <dgm:constr type="ctrY" for="ch" forName="line_4" refType="ctrY" refFor="ch" refForName="picture_4"/>
                <dgm:constr type="l" for="ch" forName="textparent_4"/>
                <dgm:constr type="h" for="ch" forName="textparent_4" refType="h" refFor="ch" refForName="picture_4"/>
                <dgm:constr type="r" for="ch" forName="textparent_4" refType="l" refFor="ch" refForName="picture_4"/>
                <dgm:constr type="ctrY" for="ch" forName="textparent_4" refType="ctrY" refFor="ch" refForName="picture_4"/>
                <dgm:constr type="primFontSz" for="des" forName="text_4" refType="primFontSz" refFor="des" refForName="text_2" op="equ"/>
              </dgm:constrLst>
            </dgm:else>
          </dgm:choose>
        </dgm:if>
        <dgm:if name="Name16" axis="ch" ptType="node" func="cnt" op="lte" val="5">
          <dgm:choose name="Name17">
            <dgm:if name="Name18" func="var" arg="dir" op="equ" val="norm">
              <dgm:constrLst>
                <dgm:constr type="h" for="ch" forName="picture_1" refType="h"/>
                <dgm:constr type="w" for="ch" forName="picture_1" refType="h" refFor="ch" refForName="picture_1" op="equ"/>
                <dgm:constr type="l" for="ch" forName="picture_1"/>
                <dgm:constr type="t" for="ch" forName="picture_1"/>
                <dgm:constr type="w" for="ch" forName="text_1" refType="w" refFor="ch" refForName="picture_1" fact="0.64"/>
                <dgm:constr type="h" for="ch" forName="text_1" refType="h" refFor="ch" refForName="picture_1" fact="0.33"/>
                <dgm:constr type="l" for="ch" forName="text_1" refType="l" refFor="ch" refForName="picture_1"/>
                <dgm:constr type="lOff" for="ch" forName="text_1" refType="w" refFor="ch" refForName="picture_1" fact="0.18"/>
                <dgm:constr type="t" for="ch" forName="text_1" refType="h" refFor="ch" refForName="picture_1" fact="0.531"/>
                <dgm:constr type="w" for="ch" forName="picture_2" refType="w" refFor="ch" refForName="picture_1" fact="0.22"/>
                <dgm:constr type="h" for="ch" forName="picture_2" refType="h" refFor="ch" refForName="picture_1" fact="0.22"/>
                <dgm:constr type="l" for="ch" forName="picture_2" refType="w" refFor="ch" refForName="picture_1" fact="1.375"/>
                <dgm:constr type="ctrY" for="ch" forName="picture_2" refType="h" refFor="ch" refForName="picture_1" fact="0.11"/>
                <dgm:constr type="l" for="ch" forName="line_2" refType="ctrX" refFor="ch" refForName="picture_1"/>
                <dgm:constr type="h" for="ch" forName="line_2"/>
                <dgm:constr type="r" for="ch" forName="line_2" refType="ctrX" refFor="ch" refForName="picture_2"/>
                <dgm:constr type="ctrY" for="ch" forName="line_2" refType="ctrY" refFor="ch" refForName="picture_2"/>
                <dgm:constr type="r" for="ch" forName="textparent_2" refType="w"/>
                <dgm:constr type="h" for="ch" forName="textparent_2" refType="h" refFor="ch" refForName="picture_2"/>
                <dgm:constr type="l" for="ch" forName="textparent_2" refType="r" refFor="ch" refForName="picture_2"/>
                <dgm:constr type="ctrY" for="ch" forName="textparent_2" refType="ctrY" refFor="ch" refForName="picture_2"/>
                <dgm:constr type="primFontSz" for="des" forName="text_2" val="65"/>
                <dgm:constr type="w" for="ch" forName="picture_3" refType="w" refFor="ch" refForName="picture_1" fact="0.22"/>
                <dgm:constr type="h" for="ch" forName="picture_3" refType="h" refFor="ch" refForName="picture_1" fact="0.22"/>
                <dgm:constr type="l" for="ch" forName="picture_3" refType="w" refFor="ch" refForName="picture_1" fact="1.21"/>
                <dgm:constr type="ctrY" for="ch" forName="picture_3" refType="h" refFor="ch" refForName="picture_1" fact="0.353"/>
                <dgm:constr type="l" for="ch" forName="line_3" refType="ctrX" refFor="ch" refForName="picture_1"/>
                <dgm:constr type="h" for="ch" forName="line_3"/>
                <dgm:constr type="r" for="ch" forName="line_3" refType="ctrX" refFor="ch" refForName="picture_3"/>
                <dgm:constr type="ctrY" for="ch" forName="line_3" refType="ctrY" refFor="ch" refForName="picture_3"/>
                <dgm:constr type="r" for="ch" forName="textparent_3" refType="w"/>
                <dgm:constr type="h" for="ch" forName="textparent_3" refType="h" refFor="ch" refForName="picture_3"/>
                <dgm:constr type="l" for="ch" forName="textparent_3" refType="r" refFor="ch" refForName="picture_3"/>
                <dgm:constr type="ctrY" for="ch" forName="textparent_3" refType="ctrY" refFor="ch" refForName="picture_3"/>
                <dgm:constr type="primFontSz" for="des" forName="text_3" refType="primFontSz" refFor="des" refForName="text_2" op="equ"/>
                <dgm:constr type="w" for="ch" forName="picture_4" refType="w" refFor="ch" refForName="picture_1" fact="0.22"/>
                <dgm:constr type="h" for="ch" forName="picture_4" refType="h" refFor="ch" refForName="picture_1" fact="0.22"/>
                <dgm:constr type="l" for="ch" forName="picture_4" refType="w" refFor="ch" refForName="picture_1" fact="1.21"/>
                <dgm:constr type="ctrY" for="ch" forName="picture_4" refType="h" refFor="ch" refForName="picture_1" fact="0.647"/>
                <dgm:constr type="l" for="ch" forName="line_4" refType="ctrX" refFor="ch" refForName="picture_1"/>
                <dgm:constr type="h" for="ch" forName="line_4"/>
                <dgm:constr type="r" for="ch" forName="line_4" refType="ctrX" refFor="ch" refForName="picture_4"/>
                <dgm:constr type="ctrY" for="ch" forName="line_4" refType="ctrY" refFor="ch" refForName="picture_4"/>
                <dgm:constr type="r" for="ch" forName="textparent_4" refType="w"/>
                <dgm:constr type="h" for="ch" forName="textparent_4" refType="h" refFor="ch" refForName="picture_4"/>
                <dgm:constr type="l" for="ch" forName="textparent_4" refType="r" refFor="ch" refForName="picture_4"/>
                <dgm:constr type="ctrY" for="ch" forName="textparent_4" refType="ctrY" refFor="ch" refForName="picture_4"/>
                <dgm:constr type="primFontSz" for="des" forName="text_4" refType="primFontSz" refFor="des" refForName="text_2" op="equ"/>
                <dgm:constr type="w" for="ch" forName="picture_5" refType="w" refFor="ch" refForName="picture_1" fact="0.22"/>
                <dgm:constr type="h" for="ch" forName="picture_5" refType="h" refFor="ch" refForName="picture_1" fact="0.22"/>
                <dgm:constr type="l" for="ch" forName="picture_5" refType="w" refFor="ch" refForName="picture_1" fact="1.375"/>
                <dgm:constr type="ctrY" for="ch" forName="picture_5" refType="h" refFor="ch" refForName="picture_1" fact="0.89"/>
                <dgm:constr type="l" for="ch" forName="line_5" refType="ctrX" refFor="ch" refForName="picture_1"/>
                <dgm:constr type="h" for="ch" forName="line_5"/>
                <dgm:constr type="r" for="ch" forName="line_5" refType="ctrX" refFor="ch" refForName="picture_5"/>
                <dgm:constr type="ctrY" for="ch" forName="line_5" refType="ctrY" refFor="ch" refForName="picture_5"/>
                <dgm:constr type="r" for="ch" forName="textparent_5" refType="w"/>
                <dgm:constr type="h" for="ch" forName="textparent_5" refType="h" refFor="ch" refForName="picture_5"/>
                <dgm:constr type="l" for="ch" forName="textparent_5" refType="r" refFor="ch" refForName="picture_5"/>
                <dgm:constr type="ctrY" for="ch" forName="textparent_5" refType="ctrY" refFor="ch" refForName="picture_5"/>
                <dgm:constr type="primFontSz" for="des" forName="text_5" refType="primFontSz" refFor="des" refForName="text_2" op="equ"/>
              </dgm:constrLst>
            </dgm:if>
            <dgm:else name="Name19">
              <dgm:constrLst>
                <dgm:constr type="h" for="ch" forName="picture_1" refType="h"/>
                <dgm:constr type="w" for="ch" forName="picture_1" refType="h" refFor="ch" refForName="picture_1" op="equ"/>
                <dgm:constr type="r" for="ch" forName="picture_1" refType="w"/>
                <dgm:constr type="t" for="ch" forName="picture_1"/>
                <dgm:constr type="w" for="ch" forName="text_1" refType="w" refFor="ch" refForName="picture_1" fact="0.64"/>
                <dgm:constr type="h" for="ch" forName="text_1" refType="h" refFor="ch" refForName="picture_1" fact="0.33"/>
                <dgm:constr type="l" for="ch" forName="text_1" refType="l" refFor="ch" refForName="picture_1"/>
                <dgm:constr type="lOff" for="ch" forName="text_1" refType="w" refFor="ch" refForName="picture_1" fact="0.18"/>
                <dgm:constr type="t" for="ch" forName="text_1" refType="h" refFor="ch" refForName="picture_1" fact="0.531"/>
                <dgm:constr type="w" for="ch" forName="picture_2" refType="w" refFor="ch" refForName="picture_1" fact="0.22"/>
                <dgm:constr type="h" for="ch" forName="picture_2" refType="h" refFor="ch" refForName="picture_1" fact="0.22"/>
                <dgm:constr type="r" for="ch" forName="picture_2" refType="w"/>
                <dgm:constr type="rOff" for="ch" forName="picture_2" refType="w" refFor="ch" refForName="picture_1" fact="-1.375"/>
                <dgm:constr type="ctrY" for="ch" forName="picture_2" refType="h" refFor="ch" refForName="picture_1" fact="0.11"/>
                <dgm:constr type="r" for="ch" forName="line_2" refType="ctrX" refFor="ch" refForName="picture_1"/>
                <dgm:constr type="h" for="ch" forName="line_2"/>
                <dgm:constr type="l" for="ch" forName="line_2" refType="ctrX" refFor="ch" refForName="picture_2"/>
                <dgm:constr type="ctrY" for="ch" forName="line_2" refType="ctrY" refFor="ch" refForName="picture_2"/>
                <dgm:constr type="l" for="ch" forName="textparent_2"/>
                <dgm:constr type="h" for="ch" forName="textparent_2" refType="h" refFor="ch" refForName="picture_2"/>
                <dgm:constr type="r" for="ch" forName="textparent_2" refType="l" refFor="ch" refForName="picture_2"/>
                <dgm:constr type="ctrY" for="ch" forName="textparent_2" refType="ctrY" refFor="ch" refForName="picture_2"/>
                <dgm:constr type="primFontSz" for="des" forName="text_2" val="65"/>
                <dgm:constr type="w" for="ch" forName="picture_3" refType="w" refFor="ch" refForName="picture_1" fact="0.22"/>
                <dgm:constr type="h" for="ch" forName="picture_3" refType="h" refFor="ch" refForName="picture_1" fact="0.22"/>
                <dgm:constr type="r" for="ch" forName="picture_3" refType="w"/>
                <dgm:constr type="rOff" for="ch" forName="picture_3" refType="w" refFor="ch" refForName="picture_1" fact="-1.21"/>
                <dgm:constr type="ctrY" for="ch" forName="picture_3" refType="h" refFor="ch" refForName="picture_1" fact="0.353"/>
                <dgm:constr type="r" for="ch" forName="line_3" refType="ctrX" refFor="ch" refForName="picture_1"/>
                <dgm:constr type="h" for="ch" forName="line_3"/>
                <dgm:constr type="l" for="ch" forName="line_3" refType="ctrX" refFor="ch" refForName="picture_3"/>
                <dgm:constr type="ctrY" for="ch" forName="line_3" refType="ctrY" refFor="ch" refForName="picture_3"/>
                <dgm:constr type="l" for="ch" forName="textparent_3"/>
                <dgm:constr type="h" for="ch" forName="textparent_3" refType="h" refFor="ch" refForName="picture_3"/>
                <dgm:constr type="r" for="ch" forName="textparent_3" refType="l" refFor="ch" refForName="picture_3"/>
                <dgm:constr type="ctrY" for="ch" forName="textparent_3" refType="ctrY" refFor="ch" refForName="picture_3"/>
                <dgm:constr type="primFontSz" for="des" forName="text_3" refType="primFontSz" refFor="des" refForName="text_2" op="equ"/>
                <dgm:constr type="w" for="ch" forName="picture_4" refType="w" refFor="ch" refForName="picture_1" fact="0.22"/>
                <dgm:constr type="h" for="ch" forName="picture_4" refType="h" refFor="ch" refForName="picture_1" fact="0.22"/>
                <dgm:constr type="r" for="ch" forName="picture_4" refType="w"/>
                <dgm:constr type="rOff" for="ch" forName="picture_4" refType="w" refFor="ch" refForName="picture_1" fact="-1.21"/>
                <dgm:constr type="ctrY" for="ch" forName="picture_4" refType="h" refFor="ch" refForName="picture_1" fact="0.647"/>
                <dgm:constr type="r" for="ch" forName="line_4" refType="ctrX" refFor="ch" refForName="picture_1"/>
                <dgm:constr type="h" for="ch" forName="line_4"/>
                <dgm:constr type="l" for="ch" forName="line_4" refType="ctrX" refFor="ch" refForName="picture_4"/>
                <dgm:constr type="ctrY" for="ch" forName="line_4" refType="ctrY" refFor="ch" refForName="picture_4"/>
                <dgm:constr type="l" for="ch" forName="textparent_4"/>
                <dgm:constr type="h" for="ch" forName="textparent_4" refType="h" refFor="ch" refForName="picture_4"/>
                <dgm:constr type="r" for="ch" forName="textparent_4" refType="l" refFor="ch" refForName="picture_4"/>
                <dgm:constr type="ctrY" for="ch" forName="textparent_4" refType="ctrY" refFor="ch" refForName="picture_4"/>
                <dgm:constr type="primFontSz" for="des" forName="text_4" refType="primFontSz" refFor="des" refForName="text_2" op="equ"/>
                <dgm:constr type="w" for="ch" forName="picture_5" refType="w" refFor="ch" refForName="picture_1" fact="0.22"/>
                <dgm:constr type="h" for="ch" forName="picture_5" refType="h" refFor="ch" refForName="picture_1" fact="0.22"/>
                <dgm:constr type="r" for="ch" forName="picture_5" refType="w"/>
                <dgm:constr type="rOff" for="ch" forName="picture_5" refType="w" refFor="ch" refForName="picture_1" fact="-1.375"/>
                <dgm:constr type="ctrY" for="ch" forName="picture_5" refType="h" refFor="ch" refForName="picture_1" fact="0.89"/>
                <dgm:constr type="r" for="ch" forName="line_5" refType="ctrX" refFor="ch" refForName="picture_1"/>
                <dgm:constr type="h" for="ch" forName="line_5"/>
                <dgm:constr type="l" for="ch" forName="line_5" refType="ctrX" refFor="ch" refForName="picture_5"/>
                <dgm:constr type="ctrY" for="ch" forName="line_5" refType="ctrY" refFor="ch" refForName="picture_5"/>
                <dgm:constr type="l" for="ch" forName="textparent_5"/>
                <dgm:constr type="h" for="ch" forName="textparent_5" refType="h" refFor="ch" refForName="picture_5"/>
                <dgm:constr type="r" for="ch" forName="textparent_5" refType="l" refFor="ch" refForName="picture_5"/>
                <dgm:constr type="ctrY" for="ch" forName="textparent_5" refType="ctrY" refFor="ch" refForName="picture_5"/>
                <dgm:constr type="primFontSz" for="des" forName="text_5" refType="primFontSz" refFor="des" refForName="text_2" op="equ"/>
              </dgm:constrLst>
            </dgm:else>
          </dgm:choose>
        </dgm:if>
        <dgm:if name="Name20" axis="ch" ptType="node" func="cnt" op="lte" val="6">
          <dgm:choose name="Name21">
            <dgm:if name="Name22" func="var" arg="dir" op="equ" val="norm">
              <dgm:constrLst>
                <dgm:constr type="h" for="ch" forName="picture_1" refType="h"/>
                <dgm:constr type="w" for="ch" forName="picture_1" refType="h" refFor="ch" refForName="picture_1" op="equ"/>
                <dgm:constr type="l" for="ch" forName="picture_1"/>
                <dgm:constr type="t" for="ch" forName="picture_1"/>
                <dgm:constr type="w" for="ch" forName="text_1" refType="w" refFor="ch" refForName="picture_1" fact="0.64"/>
                <dgm:constr type="h" for="ch" forName="text_1" refType="h" refFor="ch" refForName="picture_1" fact="0.33"/>
                <dgm:constr type="l" for="ch" forName="text_1" refType="l" refFor="ch" refForName="picture_1"/>
                <dgm:constr type="lOff" for="ch" forName="text_1" refType="w" refFor="ch" refForName="picture_1" fact="0.18"/>
                <dgm:constr type="t" for="ch" forName="text_1" refType="h" refFor="ch" refForName="picture_1" fact="0.531"/>
                <dgm:constr type="w" for="ch" forName="picture_2" refType="w" refFor="ch" refForName="picture_1" fact="0.18"/>
                <dgm:constr type="h" for="ch" forName="picture_2" refType="h" refFor="ch" refForName="picture_1" fact="0.18"/>
                <dgm:constr type="l" for="ch" forName="picture_2" refType="w" refFor="ch" refForName="picture_1" fact="1.4238"/>
                <dgm:constr type="ctrY" for="ch" forName="picture_2" refType="h" refFor="ch" refForName="picture_1" fact="0.09"/>
                <dgm:constr type="l" for="ch" forName="line_2" refType="ctrX" refFor="ch" refForName="picture_1"/>
                <dgm:constr type="h" for="ch" forName="line_2"/>
                <dgm:constr type="r" for="ch" forName="line_2" refType="ctrX" refFor="ch" refForName="picture_2"/>
                <dgm:constr type="ctrY" for="ch" forName="line_2" refType="ctrY" refFor="ch" refForName="picture_2"/>
                <dgm:constr type="r" for="ch" forName="textparent_2" refType="w"/>
                <dgm:constr type="h" for="ch" forName="textparent_2" refType="h" refFor="ch" refForName="picture_2"/>
                <dgm:constr type="l" for="ch" forName="textparent_2" refType="r" refFor="ch" refForName="picture_2"/>
                <dgm:constr type="ctrY" for="ch" forName="textparent_2" refType="ctrY" refFor="ch" refForName="picture_2"/>
                <dgm:constr type="primFontSz" for="des" forName="text_2" val="65"/>
                <dgm:constr type="w" for="ch" forName="picture_3" refType="w" refFor="ch" refForName="picture_1" fact="0.18"/>
                <dgm:constr type="h" for="ch" forName="picture_3" refType="h" refFor="ch" refForName="picture_1" fact="0.18"/>
                <dgm:constr type="l" for="ch" forName="picture_3" refType="w" refFor="ch" refForName="picture_1" fact="1.2667"/>
                <dgm:constr type="ctrY" for="ch" forName="picture_3" refType="h" refFor="ch" refForName="picture_1" fact="0.261"/>
                <dgm:constr type="l" for="ch" forName="line_3" refType="ctrX" refFor="ch" refForName="picture_1"/>
                <dgm:constr type="h" for="ch" forName="line_3"/>
                <dgm:constr type="r" for="ch" forName="line_3" refType="ctrX" refFor="ch" refForName="picture_3"/>
                <dgm:constr type="ctrY" for="ch" forName="line_3" refType="ctrY" refFor="ch" refForName="picture_3"/>
                <dgm:constr type="r" for="ch" forName="textparent_3" refType="w"/>
                <dgm:constr type="h" for="ch" forName="textparent_3" refType="h" refFor="ch" refForName="picture_3"/>
                <dgm:constr type="l" for="ch" forName="textparent_3" refType="r" refFor="ch" refForName="picture_3"/>
                <dgm:constr type="ctrY" for="ch" forName="textparent_3" refType="ctrY" refFor="ch" refForName="picture_3"/>
                <dgm:constr type="primFontSz" for="des" forName="text_3" refType="primFontSz" refFor="des" refForName="text_2" op="equ"/>
                <dgm:constr type="w" for="ch" forName="picture_4" refType="w" refFor="ch" refForName="picture_1" fact="0.18"/>
                <dgm:constr type="h" for="ch" forName="picture_4" refType="h" refFor="ch" refForName="picture_1" fact="0.18"/>
                <dgm:constr type="l" for="ch" forName="picture_4" refType="w" refFor="ch" refForName="picture_1" fact="1.21"/>
                <dgm:constr type="ctrY" for="ch" forName="picture_4" refType="h" refFor="ch" refForName="picture_1" fact="0.5"/>
                <dgm:constr type="l" for="ch" forName="line_4" refType="ctrX" refFor="ch" refForName="picture_1"/>
                <dgm:constr type="h" for="ch" forName="line_4"/>
                <dgm:constr type="r" for="ch" forName="line_4" refType="ctrX" refFor="ch" refForName="picture_4"/>
                <dgm:constr type="ctrY" for="ch" forName="line_4" refType="ctrY" refFor="ch" refForName="picture_4"/>
                <dgm:constr type="r" for="ch" forName="textparent_4" refType="w"/>
                <dgm:constr type="h" for="ch" forName="textparent_4" refType="h" refFor="ch" refForName="picture_4"/>
                <dgm:constr type="l" for="ch" forName="textparent_4" refType="r" refFor="ch" refForName="picture_4"/>
                <dgm:constr type="ctrY" for="ch" forName="textparent_4" refType="ctrY" refFor="ch" refForName="picture_4"/>
                <dgm:constr type="primFontSz" for="des" forName="text_4" refType="primFontSz" refFor="des" refForName="text_2" op="equ"/>
                <dgm:constr type="w" for="ch" forName="picture_5" refType="w" refFor="ch" refForName="picture_1" fact="0.18"/>
                <dgm:constr type="h" for="ch" forName="picture_5" refType="h" refFor="ch" refForName="picture_1" fact="0.18"/>
                <dgm:constr type="l" for="ch" forName="picture_5" refType="w" refFor="ch" refForName="picture_1" fact="1.2667"/>
                <dgm:constr type="ctrY" for="ch" forName="picture_5" refType="h" refFor="ch" refForName="picture_1" fact="0.739"/>
                <dgm:constr type="l" for="ch" forName="line_5" refType="ctrX" refFor="ch" refForName="picture_1"/>
                <dgm:constr type="h" for="ch" forName="line_5"/>
                <dgm:constr type="r" for="ch" forName="line_5" refType="ctrX" refFor="ch" refForName="picture_5"/>
                <dgm:constr type="ctrY" for="ch" forName="line_5" refType="ctrY" refFor="ch" refForName="picture_5"/>
                <dgm:constr type="r" for="ch" forName="textparent_5" refType="w"/>
                <dgm:constr type="h" for="ch" forName="textparent_5" refType="h" refFor="ch" refForName="picture_5"/>
                <dgm:constr type="l" for="ch" forName="textparent_5" refType="r" refFor="ch" refForName="picture_5"/>
                <dgm:constr type="ctrY" for="ch" forName="textparent_5" refType="ctrY" refFor="ch" refForName="picture_5"/>
                <dgm:constr type="primFontSz" for="des" forName="text_5" refType="primFontSz" refFor="des" refForName="text_2" op="equ"/>
                <dgm:constr type="w" for="ch" forName="picture_6" refType="w" refFor="ch" refForName="picture_1" fact="0.18"/>
                <dgm:constr type="h" for="ch" forName="picture_6" refType="h" refFor="ch" refForName="picture_1" fact="0.18"/>
                <dgm:constr type="l" for="ch" forName="picture_6" refType="w" refFor="ch" refForName="picture_1" fact="1.4238"/>
                <dgm:constr type="ctrY" for="ch" forName="picture_6" refType="h" refFor="ch" refForName="picture_1" fact="0.91"/>
                <dgm:constr type="l" for="ch" forName="line_6" refType="ctrX" refFor="ch" refForName="picture_1"/>
                <dgm:constr type="h" for="ch" forName="line_6"/>
                <dgm:constr type="r" for="ch" forName="line_6" refType="ctrX" refFor="ch" refForName="picture_6"/>
                <dgm:constr type="ctrY" for="ch" forName="line_6" refType="ctrY" refFor="ch" refForName="picture_6"/>
                <dgm:constr type="r" for="ch" forName="textparent_6" refType="w"/>
                <dgm:constr type="h" for="ch" forName="textparent_6" refType="h" refFor="ch" refForName="picture_6"/>
                <dgm:constr type="l" for="ch" forName="textparent_6" refType="r" refFor="ch" refForName="picture_6"/>
                <dgm:constr type="ctrY" for="ch" forName="textparent_6" refType="ctrY" refFor="ch" refForName="picture_6"/>
                <dgm:constr type="primFontSz" for="des" forName="text_6" refType="primFontSz" refFor="des" refForName="text_2" op="equ"/>
              </dgm:constrLst>
            </dgm:if>
            <dgm:else name="Name23">
              <dgm:constrLst>
                <dgm:constr type="h" for="ch" forName="picture_1" refType="h"/>
                <dgm:constr type="w" for="ch" forName="picture_1" refType="h" refFor="ch" refForName="picture_1" op="equ"/>
                <dgm:constr type="r" for="ch" forName="picture_1" refType="w"/>
                <dgm:constr type="t" for="ch" forName="picture_1"/>
                <dgm:constr type="w" for="ch" forName="text_1" refType="w" refFor="ch" refForName="picture_1" fact="0.64"/>
                <dgm:constr type="h" for="ch" forName="text_1" refType="h" refFor="ch" refForName="picture_1" fact="0.33"/>
                <dgm:constr type="l" for="ch" forName="text_1" refType="l" refFor="ch" refForName="picture_1"/>
                <dgm:constr type="lOff" for="ch" forName="text_1" refType="w" refFor="ch" refForName="picture_1" fact="0.18"/>
                <dgm:constr type="t" for="ch" forName="text_1" refType="h" refFor="ch" refForName="picture_1" fact="0.531"/>
                <dgm:constr type="w" for="ch" forName="picture_2" refType="w" refFor="ch" refForName="picture_1" fact="0.18"/>
                <dgm:constr type="h" for="ch" forName="picture_2" refType="h" refFor="ch" refForName="picture_1" fact="0.18"/>
                <dgm:constr type="r" for="ch" forName="picture_2" refType="w"/>
                <dgm:constr type="rOff" for="ch" forName="picture_2" refType="w" refFor="ch" refForName="picture_1" fact="-1.4238"/>
                <dgm:constr type="ctrY" for="ch" forName="picture_2" refType="h" refFor="ch" refForName="picture_1" fact="0.09"/>
                <dgm:constr type="r" for="ch" forName="line_2" refType="ctrX" refFor="ch" refForName="picture_1"/>
                <dgm:constr type="h" for="ch" forName="line_2"/>
                <dgm:constr type="l" for="ch" forName="line_2" refType="ctrX" refFor="ch" refForName="picture_2"/>
                <dgm:constr type="ctrY" for="ch" forName="line_2" refType="ctrY" refFor="ch" refForName="picture_2"/>
                <dgm:constr type="l" for="ch" forName="textparent_2"/>
                <dgm:constr type="h" for="ch" forName="textparent_2" refType="h" refFor="ch" refForName="picture_2"/>
                <dgm:constr type="r" for="ch" forName="textparent_2" refType="l" refFor="ch" refForName="picture_2"/>
                <dgm:constr type="ctrY" for="ch" forName="textparent_2" refType="ctrY" refFor="ch" refForName="picture_2"/>
                <dgm:constr type="primFontSz" for="des" forName="text_2" val="65"/>
                <dgm:constr type="w" for="ch" forName="picture_3" refType="w" refFor="ch" refForName="picture_1" fact="0.18"/>
                <dgm:constr type="h" for="ch" forName="picture_3" refType="h" refFor="ch" refForName="picture_1" fact="0.18"/>
                <dgm:constr type="r" for="ch" forName="picture_3" refType="w"/>
                <dgm:constr type="rOff" for="ch" forName="picture_3" refType="w" refFor="ch" refForName="picture_1" fact="-1.2667"/>
                <dgm:constr type="ctrY" for="ch" forName="picture_3" refType="h" refFor="ch" refForName="picture_1" fact="0.261"/>
                <dgm:constr type="r" for="ch" forName="line_3" refType="ctrX" refFor="ch" refForName="picture_1"/>
                <dgm:constr type="h" for="ch" forName="line_3"/>
                <dgm:constr type="l" for="ch" forName="line_3" refType="ctrX" refFor="ch" refForName="picture_3"/>
                <dgm:constr type="ctrY" for="ch" forName="line_3" refType="ctrY" refFor="ch" refForName="picture_3"/>
                <dgm:constr type="l" for="ch" forName="textparent_3"/>
                <dgm:constr type="h" for="ch" forName="textparent_3" refType="h" refFor="ch" refForName="picture_3"/>
                <dgm:constr type="r" for="ch" forName="textparent_3" refType="l" refFor="ch" refForName="picture_3"/>
                <dgm:constr type="ctrY" for="ch" forName="textparent_3" refType="ctrY" refFor="ch" refForName="picture_3"/>
                <dgm:constr type="primFontSz" for="des" forName="text_3" refType="primFontSz" refFor="des" refForName="text_2" op="equ"/>
                <dgm:constr type="w" for="ch" forName="picture_4" refType="w" refFor="ch" refForName="picture_1" fact="0.18"/>
                <dgm:constr type="h" for="ch" forName="picture_4" refType="h" refFor="ch" refForName="picture_1" fact="0.18"/>
                <dgm:constr type="r" for="ch" forName="picture_4" refType="w"/>
                <dgm:constr type="rOff" for="ch" forName="picture_4" refType="w" refFor="ch" refForName="picture_1" fact="-1.21"/>
                <dgm:constr type="ctrY" for="ch" forName="picture_4" refType="h" refFor="ch" refForName="picture_1" fact="0.5"/>
                <dgm:constr type="r" for="ch" forName="line_4" refType="ctrX" refFor="ch" refForName="picture_1"/>
                <dgm:constr type="h" for="ch" forName="line_4"/>
                <dgm:constr type="l" for="ch" forName="line_4" refType="ctrX" refFor="ch" refForName="picture_4"/>
                <dgm:constr type="ctrY" for="ch" forName="line_4" refType="ctrY" refFor="ch" refForName="picture_4"/>
                <dgm:constr type="l" for="ch" forName="textparent_4"/>
                <dgm:constr type="h" for="ch" forName="textparent_4" refType="h" refFor="ch" refForName="picture_4"/>
                <dgm:constr type="r" for="ch" forName="textparent_4" refType="l" refFor="ch" refForName="picture_4"/>
                <dgm:constr type="ctrY" for="ch" forName="textparent_4" refType="ctrY" refFor="ch" refForName="picture_4"/>
                <dgm:constr type="primFontSz" for="des" forName="text_4" refType="primFontSz" refFor="des" refForName="text_2" op="equ"/>
                <dgm:constr type="w" for="ch" forName="picture_5" refType="w" refFor="ch" refForName="picture_1" fact="0.18"/>
                <dgm:constr type="h" for="ch" forName="picture_5" refType="h" refFor="ch" refForName="picture_1" fact="0.18"/>
                <dgm:constr type="r" for="ch" forName="picture_5" refType="w"/>
                <dgm:constr type="rOff" for="ch" forName="picture_5" refType="w" refFor="ch" refForName="picture_1" fact="-1.2667"/>
                <dgm:constr type="ctrY" for="ch" forName="picture_5" refType="h" refFor="ch" refForName="picture_1" fact="0.739"/>
                <dgm:constr type="r" for="ch" forName="line_5" refType="ctrX" refFor="ch" refForName="picture_1"/>
                <dgm:constr type="h" for="ch" forName="line_5"/>
                <dgm:constr type="l" for="ch" forName="line_5" refType="ctrX" refFor="ch" refForName="picture_5"/>
                <dgm:constr type="ctrY" for="ch" forName="line_5" refType="ctrY" refFor="ch" refForName="picture_5"/>
                <dgm:constr type="l" for="ch" forName="textparent_5"/>
                <dgm:constr type="h" for="ch" forName="textparent_5" refType="h" refFor="ch" refForName="picture_5"/>
                <dgm:constr type="r" for="ch" forName="textparent_5" refType="l" refFor="ch" refForName="picture_5"/>
                <dgm:constr type="ctrY" for="ch" forName="textparent_5" refType="ctrY" refFor="ch" refForName="picture_5"/>
                <dgm:constr type="primFontSz" for="des" forName="text_5" refType="primFontSz" refFor="des" refForName="text_2" op="equ"/>
                <dgm:constr type="w" for="ch" forName="picture_6" refType="w" refFor="ch" refForName="picture_1" fact="0.18"/>
                <dgm:constr type="h" for="ch" forName="picture_6" refType="h" refFor="ch" refForName="picture_1" fact="0.18"/>
                <dgm:constr type="r" for="ch" forName="picture_6" refType="w"/>
                <dgm:constr type="rOff" for="ch" forName="picture_6" refType="w" refFor="ch" refForName="picture_1" fact="-1.4238"/>
                <dgm:constr type="ctrY" for="ch" forName="picture_6" refType="h" refFor="ch" refForName="picture_1" fact="0.91"/>
                <dgm:constr type="r" for="ch" forName="line_6" refType="ctrX" refFor="ch" refForName="picture_1"/>
                <dgm:constr type="h" for="ch" forName="line_6"/>
                <dgm:constr type="l" for="ch" forName="line_6" refType="ctrX" refFor="ch" refForName="picture_6"/>
                <dgm:constr type="ctrY" for="ch" forName="line_6" refType="ctrY" refFor="ch" refForName="picture_6"/>
                <dgm:constr type="l" for="ch" forName="textparent_6"/>
                <dgm:constr type="h" for="ch" forName="textparent_6" refType="h" refFor="ch" refForName="picture_6"/>
                <dgm:constr type="r" for="ch" forName="textparent_6" refType="l" refFor="ch" refForName="picture_6"/>
                <dgm:constr type="ctrY" for="ch" forName="textparent_6" refType="ctrY" refFor="ch" refForName="picture_6"/>
                <dgm:constr type="primFontSz" for="des" forName="text_6" refType="primFontSz" refFor="des" refForName="text_2" op="equ"/>
              </dgm:constrLst>
            </dgm:else>
          </dgm:choose>
        </dgm:if>
        <dgm:else name="Name24">
          <dgm:choose name="Name25">
            <dgm:if name="Name26" func="var" arg="dir" op="equ" val="norm">
              <dgm:constrLst>
                <dgm:constr type="h" for="ch" forName="picture_1" refType="h"/>
                <dgm:constr type="w" for="ch" forName="picture_1" refType="h" refFor="ch" refForName="picture_1" op="equ"/>
                <dgm:constr type="l" for="ch" forName="picture_1"/>
                <dgm:constr type="t" for="ch" forName="picture_1"/>
                <dgm:constr type="w" for="ch" forName="text_1" refType="w" refFor="ch" refForName="picture_1" fact="0.64"/>
                <dgm:constr type="h" for="ch" forName="text_1" refType="h" refFor="ch" refForName="picture_1" fact="0.33"/>
                <dgm:constr type="l" for="ch" forName="text_1" refType="l" refFor="ch" refForName="picture_1"/>
                <dgm:constr type="lOff" for="ch" forName="text_1" refType="w" refFor="ch" refForName="picture_1" fact="0.18"/>
                <dgm:constr type="t" for="ch" forName="text_1" refType="h" refFor="ch" refForName="picture_1" fact="0.531"/>
                <dgm:constr type="w" for="ch" forName="picture_2" refType="w" refFor="ch" refForName="picture_1" fact="0.15"/>
                <dgm:constr type="h" for="ch" forName="picture_2" refType="h" refFor="ch" refForName="picture_1" fact="0.15"/>
                <dgm:constr type="l" for="ch" forName="picture_2" refType="w" refFor="ch" refForName="picture_1" fact="1.4363"/>
                <dgm:constr type="ctrY" for="ch" forName="picture_2" refType="h" refFor="ch" refForName="picture_1" fact="0.075"/>
                <dgm:constr type="l" for="ch" forName="line_2" refType="ctrX" refFor="ch" refForName="picture_1"/>
                <dgm:constr type="h" for="ch" forName="line_2"/>
                <dgm:constr type="r" for="ch" forName="line_2" refType="ctrX" refFor="ch" refForName="picture_2"/>
                <dgm:constr type="ctrY" for="ch" forName="line_2" refType="ctrY" refFor="ch" refForName="picture_2"/>
                <dgm:constr type="r" for="ch" forName="textparent_2" refType="w"/>
                <dgm:constr type="h" for="ch" forName="textparent_2" refType="h" refFor="ch" refForName="picture_2"/>
                <dgm:constr type="l" for="ch" forName="textparent_2" refType="r" refFor="ch" refForName="picture_2"/>
                <dgm:constr type="ctrY" for="ch" forName="textparent_2" refType="ctrY" refFor="ch" refForName="picture_2"/>
                <dgm:constr type="primFontSz" for="des" forName="text_2" val="65"/>
                <dgm:constr type="w" for="ch" forName="picture_3" refType="w" refFor="ch" refForName="picture_1" fact="0.15"/>
                <dgm:constr type="h" for="ch" forName="picture_3" refType="h" refFor="ch" refForName="picture_1" fact="0.15"/>
                <dgm:constr type="l" for="ch" forName="picture_3" refType="w" refFor="ch" refForName="picture_1" fact="1.2898"/>
                <dgm:constr type="ctrY" for="ch" forName="picture_3" refType="h" refFor="ch" refForName="picture_1" fact="0.227"/>
                <dgm:constr type="l" for="ch" forName="line_3" refType="ctrX" refFor="ch" refForName="picture_1"/>
                <dgm:constr type="h" for="ch" forName="line_3"/>
                <dgm:constr type="r" for="ch" forName="line_3" refType="ctrX" refFor="ch" refForName="picture_3"/>
                <dgm:constr type="ctrY" for="ch" forName="line_3" refType="ctrY" refFor="ch" refForName="picture_3"/>
                <dgm:constr type="r" for="ch" forName="textparent_3" refType="w"/>
                <dgm:constr type="h" for="ch" forName="textparent_3" refType="h" refFor="ch" refForName="picture_3"/>
                <dgm:constr type="l" for="ch" forName="textparent_3" refType="r" refFor="ch" refForName="picture_3"/>
                <dgm:constr type="ctrY" for="ch" forName="textparent_3" refType="ctrY" refFor="ch" refForName="picture_3"/>
                <dgm:constr type="primFontSz" for="des" forName="text_3" refType="primFontSz" refFor="des" refForName="text_2" op="equ"/>
                <dgm:constr type="w" for="ch" forName="picture_4" refType="w" refFor="ch" refForName="picture_1" fact="0.15"/>
                <dgm:constr type="h" for="ch" forName="picture_4" refType="h" refFor="ch" refForName="picture_1" fact="0.15"/>
                <dgm:constr type="l" for="ch" forName="picture_4" refType="w" refFor="ch" refForName="picture_1" fact="1.21"/>
                <dgm:constr type="ctrY" for="ch" forName="picture_4" refType="h" refFor="ch" refForName="picture_1" fact="0.405"/>
                <dgm:constr type="l" for="ch" forName="line_4" refType="ctrX" refFor="ch" refForName="picture_1"/>
                <dgm:constr type="h" for="ch" forName="line_4"/>
                <dgm:constr type="r" for="ch" forName="line_4" refType="ctrX" refFor="ch" refForName="picture_4"/>
                <dgm:constr type="ctrY" for="ch" forName="line_4" refType="ctrY" refFor="ch" refForName="picture_4"/>
                <dgm:constr type="r" for="ch" forName="textparent_4" refType="w"/>
                <dgm:constr type="h" for="ch" forName="textparent_4" refType="h" refFor="ch" refForName="picture_4"/>
                <dgm:constr type="l" for="ch" forName="textparent_4" refType="r" refFor="ch" refForName="picture_4"/>
                <dgm:constr type="ctrY" for="ch" forName="textparent_4" refType="ctrY" refFor="ch" refForName="picture_4"/>
                <dgm:constr type="primFontSz" for="des" forName="text_4" refType="primFontSz" refFor="des" refForName="text_2" op="equ"/>
                <dgm:constr type="w" for="ch" forName="picture_5" refType="w" refFor="ch" refForName="picture_1" fact="0.15"/>
                <dgm:constr type="h" for="ch" forName="picture_5" refType="h" refFor="ch" refForName="picture_1" fact="0.15"/>
                <dgm:constr type="l" for="ch" forName="picture_5" refType="w" refFor="ch" refForName="picture_1" fact="1.21"/>
                <dgm:constr type="ctrY" for="ch" forName="picture_5" refType="h" refFor="ch" refForName="picture_1" fact="0.595"/>
                <dgm:constr type="l" for="ch" forName="line_5" refType="ctrX" refFor="ch" refForName="picture_1"/>
                <dgm:constr type="h" for="ch" forName="line_5"/>
                <dgm:constr type="r" for="ch" forName="line_5" refType="ctrX" refFor="ch" refForName="picture_5"/>
                <dgm:constr type="ctrY" for="ch" forName="line_5" refType="ctrY" refFor="ch" refForName="picture_5"/>
                <dgm:constr type="r" for="ch" forName="textparent_5" refType="w"/>
                <dgm:constr type="h" for="ch" forName="textparent_5" refType="h" refFor="ch" refForName="picture_5"/>
                <dgm:constr type="l" for="ch" forName="textparent_5" refType="r" refFor="ch" refForName="picture_5"/>
                <dgm:constr type="ctrY" for="ch" forName="textparent_5" refType="ctrY" refFor="ch" refForName="picture_5"/>
                <dgm:constr type="primFontSz" for="des" forName="text_5" refType="primFontSz" refFor="des" refForName="text_2" op="equ"/>
                <dgm:constr type="w" for="ch" forName="picture_6" refType="w" refFor="ch" refForName="picture_1" fact="0.15"/>
                <dgm:constr type="h" for="ch" forName="picture_6" refType="h" refFor="ch" refForName="picture_1" fact="0.15"/>
                <dgm:constr type="l" for="ch" forName="picture_6" refType="w" refFor="ch" refForName="picture_1" fact="1.2898"/>
                <dgm:constr type="ctrY" for="ch" forName="picture_6" refType="h" refFor="ch" refForName="picture_1" fact="0.773"/>
                <dgm:constr type="l" for="ch" forName="line_6" refType="ctrX" refFor="ch" refForName="picture_1"/>
                <dgm:constr type="h" for="ch" forName="line_6"/>
                <dgm:constr type="r" for="ch" forName="line_6" refType="ctrX" refFor="ch" refForName="picture_6"/>
                <dgm:constr type="ctrY" for="ch" forName="line_6" refType="ctrY" refFor="ch" refForName="picture_6"/>
                <dgm:constr type="r" for="ch" forName="textparent_6" refType="w"/>
                <dgm:constr type="h" for="ch" forName="textparent_6" refType="h" refFor="ch" refForName="picture_6"/>
                <dgm:constr type="l" for="ch" forName="textparent_6" refType="r" refFor="ch" refForName="picture_6"/>
                <dgm:constr type="ctrY" for="ch" forName="textparent_6" refType="ctrY" refFor="ch" refForName="picture_6"/>
                <dgm:constr type="primFontSz" for="des" forName="text_6" refType="primFontSz" refFor="des" refForName="text_2" op="equ"/>
                <dgm:constr type="w" for="ch" forName="picture_7" refType="w" refFor="ch" refForName="picture_1" fact="0.15"/>
                <dgm:constr type="h" for="ch" forName="picture_7" refType="h" refFor="ch" refForName="picture_1" fact="0.15"/>
                <dgm:constr type="l" for="ch" forName="picture_7" refType="w" refFor="ch" refForName="picture_1" fact="1.4363"/>
                <dgm:constr type="ctrY" for="ch" forName="picture_7" refType="h" refFor="ch" refForName="picture_1" fact="0.925"/>
                <dgm:constr type="l" for="ch" forName="line_7" refType="ctrX" refFor="ch" refForName="picture_1"/>
                <dgm:constr type="h" for="ch" forName="line_7"/>
                <dgm:constr type="r" for="ch" forName="line_7" refType="ctrX" refFor="ch" refForName="picture_7"/>
                <dgm:constr type="ctrY" for="ch" forName="line_7" refType="ctrY" refFor="ch" refForName="picture_7"/>
                <dgm:constr type="r" for="ch" forName="textparent_7" refType="w"/>
                <dgm:constr type="h" for="ch" forName="textparent_7" refType="h" refFor="ch" refForName="picture_7"/>
                <dgm:constr type="l" for="ch" forName="textparent_7" refType="r" refFor="ch" refForName="picture_7"/>
                <dgm:constr type="ctrY" for="ch" forName="textparent_7" refType="ctrY" refFor="ch" refForName="picture_7"/>
                <dgm:constr type="primFontSz" for="des" forName="text_7" refType="primFontSz" refFor="des" refForName="text_2" op="equ"/>
              </dgm:constrLst>
            </dgm:if>
            <dgm:else name="Name27">
              <dgm:constrLst>
                <dgm:constr type="h" for="ch" forName="picture_1" refType="h"/>
                <dgm:constr type="w" for="ch" forName="picture_1" refType="h" refFor="ch" refForName="picture_1" op="equ"/>
                <dgm:constr type="r" for="ch" forName="picture_1" refType="w"/>
                <dgm:constr type="t" for="ch" forName="picture_1"/>
                <dgm:constr type="w" for="ch" forName="text_1" refType="w" refFor="ch" refForName="picture_1" fact="0.64"/>
                <dgm:constr type="h" for="ch" forName="text_1" refType="h" refFor="ch" refForName="picture_1" fact="0.33"/>
                <dgm:constr type="l" for="ch" forName="text_1" refType="l" refFor="ch" refForName="picture_1"/>
                <dgm:constr type="lOff" for="ch" forName="text_1" refType="w" refFor="ch" refForName="picture_1" fact="0.18"/>
                <dgm:constr type="t" for="ch" forName="text_1" refType="h" refFor="ch" refForName="picture_1" fact="0.531"/>
                <dgm:constr type="w" for="ch" forName="picture_2" refType="w" refFor="ch" refForName="picture_1" fact="0.15"/>
                <dgm:constr type="h" for="ch" forName="picture_2" refType="h" refFor="ch" refForName="picture_1" fact="0.15"/>
                <dgm:constr type="r" for="ch" forName="picture_2" refType="w"/>
                <dgm:constr type="rOff" for="ch" forName="picture_2" refType="w" refFor="ch" refForName="picture_1" fact="-1.4363"/>
                <dgm:constr type="ctrY" for="ch" forName="picture_2" refType="h" refFor="ch" refForName="picture_1" fact="0.075"/>
                <dgm:constr type="r" for="ch" forName="line_2" refType="ctrX" refFor="ch" refForName="picture_1"/>
                <dgm:constr type="h" for="ch" forName="line_2"/>
                <dgm:constr type="l" for="ch" forName="line_2" refType="ctrX" refFor="ch" refForName="picture_2"/>
                <dgm:constr type="ctrY" for="ch" forName="line_2" refType="ctrY" refFor="ch" refForName="picture_2"/>
                <dgm:constr type="l" for="ch" forName="textparent_2"/>
                <dgm:constr type="h" for="ch" forName="textparent_2" refType="h" refFor="ch" refForName="picture_2"/>
                <dgm:constr type="r" for="ch" forName="textparent_2" refType="l" refFor="ch" refForName="picture_2"/>
                <dgm:constr type="ctrY" for="ch" forName="textparent_2" refType="ctrY" refFor="ch" refForName="picture_2"/>
                <dgm:constr type="primFontSz" for="des" forName="text_2" val="65"/>
                <dgm:constr type="w" for="ch" forName="picture_3" refType="w" refFor="ch" refForName="picture_1" fact="0.15"/>
                <dgm:constr type="h" for="ch" forName="picture_3" refType="h" refFor="ch" refForName="picture_1" fact="0.15"/>
                <dgm:constr type="r" for="ch" forName="picture_3" refType="w"/>
                <dgm:constr type="rOff" for="ch" forName="picture_3" refType="w" refFor="ch" refForName="picture_1" fact="-1.2898"/>
                <dgm:constr type="ctrY" for="ch" forName="picture_3" refType="h" refFor="ch" refForName="picture_1" fact="0.227"/>
                <dgm:constr type="r" for="ch" forName="line_3" refType="ctrX" refFor="ch" refForName="picture_1"/>
                <dgm:constr type="h" for="ch" forName="line_3"/>
                <dgm:constr type="l" for="ch" forName="line_3" refType="ctrX" refFor="ch" refForName="picture_3"/>
                <dgm:constr type="ctrY" for="ch" forName="line_3" refType="ctrY" refFor="ch" refForName="picture_3"/>
                <dgm:constr type="l" for="ch" forName="textparent_3"/>
                <dgm:constr type="h" for="ch" forName="textparent_3" refType="h" refFor="ch" refForName="picture_3"/>
                <dgm:constr type="r" for="ch" forName="textparent_3" refType="l" refFor="ch" refForName="picture_3"/>
                <dgm:constr type="ctrY" for="ch" forName="textparent_3" refType="ctrY" refFor="ch" refForName="picture_3"/>
                <dgm:constr type="primFontSz" for="des" forName="text_3" refType="primFontSz" refFor="des" refForName="text_2" op="equ"/>
                <dgm:constr type="w" for="ch" forName="picture_4" refType="w" refFor="ch" refForName="picture_1" fact="0.15"/>
                <dgm:constr type="h" for="ch" forName="picture_4" refType="h" refFor="ch" refForName="picture_1" fact="0.15"/>
                <dgm:constr type="r" for="ch" forName="picture_4" refType="w"/>
                <dgm:constr type="rOff" for="ch" forName="picture_4" refType="w" refFor="ch" refForName="picture_1" fact="-1.21"/>
                <dgm:constr type="ctrY" for="ch" forName="picture_4" refType="h" refFor="ch" refForName="picture_1" fact="0.405"/>
                <dgm:constr type="r" for="ch" forName="line_4" refType="ctrX" refFor="ch" refForName="picture_1"/>
                <dgm:constr type="h" for="ch" forName="line_4"/>
                <dgm:constr type="l" for="ch" forName="line_4" refType="ctrX" refFor="ch" refForName="picture_4"/>
                <dgm:constr type="ctrY" for="ch" forName="line_4" refType="ctrY" refFor="ch" refForName="picture_4"/>
                <dgm:constr type="l" for="ch" forName="textparent_4"/>
                <dgm:constr type="h" for="ch" forName="textparent_4" refType="h" refFor="ch" refForName="picture_4"/>
                <dgm:constr type="r" for="ch" forName="textparent_4" refType="l" refFor="ch" refForName="picture_4"/>
                <dgm:constr type="ctrY" for="ch" forName="textparent_4" refType="ctrY" refFor="ch" refForName="picture_4"/>
                <dgm:constr type="primFontSz" for="des" forName="text_4" refType="primFontSz" refFor="des" refForName="text_2" op="equ"/>
                <dgm:constr type="w" for="ch" forName="picture_5" refType="w" refFor="ch" refForName="picture_1" fact="0.15"/>
                <dgm:constr type="h" for="ch" forName="picture_5" refType="h" refFor="ch" refForName="picture_1" fact="0.15"/>
                <dgm:constr type="r" for="ch" forName="picture_5" refType="w"/>
                <dgm:constr type="rOff" for="ch" forName="picture_5" refType="w" refFor="ch" refForName="picture_1" fact="-1.21"/>
                <dgm:constr type="ctrY" for="ch" forName="picture_5" refType="h" refFor="ch" refForName="picture_1" fact="0.595"/>
                <dgm:constr type="r" for="ch" forName="line_5" refType="ctrX" refFor="ch" refForName="picture_1"/>
                <dgm:constr type="h" for="ch" forName="line_5"/>
                <dgm:constr type="l" for="ch" forName="line_5" refType="ctrX" refFor="ch" refForName="picture_5"/>
                <dgm:constr type="ctrY" for="ch" forName="line_5" refType="ctrY" refFor="ch" refForName="picture_5"/>
                <dgm:constr type="l" for="ch" forName="textparent_5"/>
                <dgm:constr type="h" for="ch" forName="textparent_5" refType="h" refFor="ch" refForName="picture_5"/>
                <dgm:constr type="r" for="ch" forName="textparent_5" refType="l" refFor="ch" refForName="picture_5"/>
                <dgm:constr type="ctrY" for="ch" forName="textparent_5" refType="ctrY" refFor="ch" refForName="picture_5"/>
                <dgm:constr type="primFontSz" for="des" forName="text_5" refType="primFontSz" refFor="des" refForName="text_2" op="equ"/>
                <dgm:constr type="w" for="ch" forName="picture_6" refType="w" refFor="ch" refForName="picture_1" fact="0.15"/>
                <dgm:constr type="h" for="ch" forName="picture_6" refType="h" refFor="ch" refForName="picture_1" fact="0.15"/>
                <dgm:constr type="r" for="ch" forName="picture_6" refType="w"/>
                <dgm:constr type="rOff" for="ch" forName="picture_6" refType="w" refFor="ch" refForName="picture_1" fact="-1.2898"/>
                <dgm:constr type="ctrY" for="ch" forName="picture_6" refType="h" refFor="ch" refForName="picture_1" fact="0.773"/>
                <dgm:constr type="r" for="ch" forName="line_6" refType="ctrX" refFor="ch" refForName="picture_1"/>
                <dgm:constr type="h" for="ch" forName="line_6"/>
                <dgm:constr type="l" for="ch" forName="line_6" refType="ctrX" refFor="ch" refForName="picture_6"/>
                <dgm:constr type="ctrY" for="ch" forName="line_6" refType="ctrY" refFor="ch" refForName="picture_6"/>
                <dgm:constr type="l" for="ch" forName="textparent_6"/>
                <dgm:constr type="h" for="ch" forName="textparent_6" refType="h" refFor="ch" refForName="picture_6"/>
                <dgm:constr type="r" for="ch" forName="textparent_6" refType="l" refFor="ch" refForName="picture_6"/>
                <dgm:constr type="ctrY" for="ch" forName="textparent_6" refType="ctrY" refFor="ch" refForName="picture_6"/>
                <dgm:constr type="primFontSz" for="des" forName="text_6" refType="primFontSz" refFor="des" refForName="text_2" op="equ"/>
                <dgm:constr type="w" for="ch" forName="picture_7" refType="w" refFor="ch" refForName="picture_1" fact="0.15"/>
                <dgm:constr type="h" for="ch" forName="picture_7" refType="h" refFor="ch" refForName="picture_1" fact="0.15"/>
                <dgm:constr type="r" for="ch" forName="picture_7" refType="w"/>
                <dgm:constr type="rOff" for="ch" forName="picture_7" refType="w" refFor="ch" refForName="picture_1" fact="-1.4363"/>
                <dgm:constr type="ctrY" for="ch" forName="picture_7" refType="h" refFor="ch" refForName="picture_1" fact="0.925"/>
                <dgm:constr type="r" for="ch" forName="line_7" refType="ctrX" refFor="ch" refForName="picture_1"/>
                <dgm:constr type="h" for="ch" forName="line_7"/>
                <dgm:constr type="l" for="ch" forName="line_7" refType="ctrX" refFor="ch" refForName="picture_7"/>
                <dgm:constr type="ctrY" for="ch" forName="line_7" refType="ctrY" refFor="ch" refForName="picture_7"/>
                <dgm:constr type="l" for="ch" forName="textparent_7"/>
                <dgm:constr type="h" for="ch" forName="textparent_7" refType="h" refFor="ch" refForName="picture_7"/>
                <dgm:constr type="r" for="ch" forName="textparent_7" refType="l" refFor="ch" refForName="picture_7"/>
                <dgm:constr type="ctrY" for="ch" forName="textparent_7" refType="ctrY" refFor="ch" refForName="picture_7"/>
                <dgm:constr type="primFontSz" for="des" forName="text_7" refType="primFontSz" refFor="des" refForName="text_2" op="equ"/>
              </dgm:constrLst>
            </dgm:else>
          </dgm:choose>
        </dgm:else>
      </dgm:choose>
      <dgm:forEach name="wrapper" axis="self" ptType="parTrans">
        <dgm:forEach name="wrapper2" axis="self" ptType="sibTrans" st="2">
          <dgm:forEach name="pictureRepeat" axis="self">
            <dgm:layoutNode name="pictureRepeatNode" styleLbl="alignImgPlace1">
              <dgm:alg type="sp"/>
              <dgm:shape xmlns:r="http://schemas.openxmlformats.org/officeDocument/2006/relationships" type="ellipse" r:blip="" blipPhldr="1">
                <dgm:adjLst/>
              </dgm:shape>
              <dgm:presOf axis="self"/>
            </dgm:layoutNode>
          </dgm:forEach>
        </dgm:forEach>
      </dgm:forEach>
      <dgm:forEach name="Name28" axis="ch" ptType="sibTrans" hideLastTrans="0" cnt="1">
        <dgm:layoutNode name="picture_1">
          <dgm:alg type="sp"/>
          <dgm:shape xmlns:r="http://schemas.openxmlformats.org/officeDocument/2006/relationships" r:blip="">
            <dgm:adjLst/>
          </dgm:shape>
          <dgm:presOf/>
          <dgm:constrLst/>
          <dgm:forEach name="Name29" ref="pictureRepeat"/>
        </dgm:layoutNode>
      </dgm:forEach>
      <dgm:forEach name="Name30" axis="ch" ptType="node" cnt="1">
        <dgm:layoutNode name="text_1" styleLbl="node1">
          <dgm:varLst>
            <dgm:bulletEnabled val="1"/>
          </dgm:varLst>
          <dgm:alg type="tx">
            <dgm:param type="txAnchorVert" val="b"/>
            <dgm:param type="txAnchorVertCh" val="b"/>
            <dgm:param type="parTxRTLAlign" val="r"/>
            <dgm:param type="shpTxRTLAlignCh" val="r"/>
          </dgm:alg>
          <dgm:shape xmlns:r="http://schemas.openxmlformats.org/officeDocument/2006/relationships" type="rect" r:blip="" hideGeom="1">
            <dgm:adjLst/>
          </dgm:shape>
          <dgm:presOf axis="desOrSelf" ptType="node"/>
          <dgm:constrLst>
            <dgm:constr type="primFontSz" val="65"/>
            <dgm:constr type="lMarg"/>
            <dgm:constr type="rMarg"/>
            <dgm:constr type="tMarg"/>
            <dgm:constr type="bMarg"/>
          </dgm:constrLst>
          <dgm:ruleLst>
            <dgm:rule type="primFontSz" val="5" fact="NaN" max="NaN"/>
          </dgm:ruleLst>
        </dgm:layoutNode>
      </dgm:forEach>
      <dgm:forEach name="Name31" axis="ch" ptType="sibTrans" hideLastTrans="0" st="2" cnt="1">
        <dgm:layoutNode name="picture_2">
          <dgm:alg type="sp"/>
          <dgm:shape xmlns:r="http://schemas.openxmlformats.org/officeDocument/2006/relationships" r:blip="">
            <dgm:adjLst/>
          </dgm:shape>
          <dgm:presOf/>
          <dgm:constrLst/>
          <dgm:forEach name="Name32" ref="pictureRepeat"/>
        </dgm:layoutNode>
      </dgm:forEach>
      <dgm:forEach name="Name33" axis="ch" ptType="node" st="2" cnt="1">
        <dgm:layoutNode name="line_2" styleLbl="parChTrans1D1">
          <dgm:alg type="sp"/>
          <dgm:shape xmlns:r="http://schemas.openxmlformats.org/officeDocument/2006/relationships" type="line" r:blip="" zOrderOff="-100">
            <dgm:adjLst/>
          </dgm:shape>
          <dgm:presOf/>
        </dgm:layoutNode>
        <dgm:layoutNode name="textparent_2">
          <dgm:choose name="Name34">
            <dgm:if name="Name35" func="var" arg="dir" op="equ" val="norm">
              <dgm:alg type="lin">
                <dgm:param type="horzAlign" val="l"/>
              </dgm:alg>
            </dgm:if>
            <dgm:else name="Name36">
              <dgm:alg type="lin">
                <dgm:param type="horzAlign" val="r"/>
              </dgm:alg>
            </dgm:else>
          </dgm:choose>
          <dgm:shape xmlns:r="http://schemas.openxmlformats.org/officeDocument/2006/relationships" type="rect" r:blip="" hideGeom="1">
            <dgm:adjLst/>
          </dgm:shape>
          <dgm:constrLst>
            <dgm:constr type="userW" for="ch" forName="text_2" refType="w"/>
            <dgm:constr type="h" for="ch" forName="text_2" refType="h"/>
          </dgm:constrLst>
          <dgm:presOf/>
          <dgm:layoutNode name="text_2" styleLbl="revTx">
            <dgm:varLst>
              <dgm:bulletEnabled val="1"/>
            </dgm:varLst>
            <dgm:choose name="Name37">
              <dgm:if name="Name38" func="var" arg="dir" op="equ" val="norm">
                <dgm:alg type="tx">
                  <dgm:param type="parTxLTRAlign" val="l"/>
                  <dgm:param type="shpTxLTRAlignCh" val="l"/>
                  <dgm:param type="parTxRTLAlign" val="r"/>
                  <dgm:param type="shpTxRTLAlignCh" val="r"/>
                </dgm:alg>
              </dgm:if>
              <dgm:else name="Name39">
                <dgm:alg type="tx">
                  <dgm:param type="parTxLTRAlign" val="r"/>
                  <dgm:param type="shpTxLTRAlignCh" val="r"/>
                  <dgm:param type="parTxRTLAlign" val="r"/>
                  <dgm:param type="shpTxRTLAlignCh" val="r"/>
                </dgm:alg>
              </dgm:else>
            </dgm:choose>
            <dgm:shape xmlns:r="http://schemas.openxmlformats.org/officeDocument/2006/relationships" type="rect" r:blip="">
              <dgm:adjLst/>
            </dgm:shape>
            <dgm:presOf axis="desOrSelf" ptType="node"/>
            <dgm:constrLst>
              <dgm:constr type="userW"/>
              <dgm:constr type="w" refType="userW" fact="0.1"/>
              <dgm:constr type="lMarg" refType="primFontSz" fact="0.3"/>
              <dgm:constr type="rMarg" refType="primFontSz" fact="0.3"/>
              <dgm:constr type="tMarg"/>
              <dgm:constr type="bMarg"/>
            </dgm:constrLst>
            <dgm:ruleLst>
              <dgm:rule type="w" val="NaN" fact="1" max="NaN"/>
              <dgm:rule type="primFontSz" val="5" fact="NaN" max="NaN"/>
            </dgm:ruleLst>
          </dgm:layoutNode>
        </dgm:layoutNode>
      </dgm:forEach>
      <dgm:forEach name="Name40" axis="ch" ptType="sibTrans" hideLastTrans="0" st="3" cnt="1">
        <dgm:layoutNode name="picture_3">
          <dgm:alg type="sp"/>
          <dgm:shape xmlns:r="http://schemas.openxmlformats.org/officeDocument/2006/relationships" r:blip="">
            <dgm:adjLst/>
          </dgm:shape>
          <dgm:presOf/>
          <dgm:constrLst/>
          <dgm:forEach name="Name41" ref="pictureRepeat"/>
        </dgm:layoutNode>
      </dgm:forEach>
      <dgm:forEach name="Name42" axis="ch" ptType="node" st="3" cnt="1">
        <dgm:layoutNode name="line_3" styleLbl="parChTrans1D1">
          <dgm:alg type="sp"/>
          <dgm:shape xmlns:r="http://schemas.openxmlformats.org/officeDocument/2006/relationships" type="line" r:blip="" zOrderOff="-100">
            <dgm:adjLst/>
          </dgm:shape>
          <dgm:presOf/>
        </dgm:layoutNode>
        <dgm:layoutNode name="textparent_3">
          <dgm:choose name="Name43">
            <dgm:if name="Name44" func="var" arg="dir" op="equ" val="norm">
              <dgm:alg type="lin">
                <dgm:param type="horzAlign" val="l"/>
              </dgm:alg>
            </dgm:if>
            <dgm:else name="Name45">
              <dgm:alg type="lin">
                <dgm:param type="horzAlign" val="r"/>
              </dgm:alg>
            </dgm:else>
          </dgm:choose>
          <dgm:shape xmlns:r="http://schemas.openxmlformats.org/officeDocument/2006/relationships" type="rect" r:blip="" hideGeom="1">
            <dgm:adjLst/>
          </dgm:shape>
          <dgm:constrLst>
            <dgm:constr type="userW" for="ch" forName="text_3" refType="w"/>
            <dgm:constr type="h" for="ch" forName="text_3" refType="h"/>
          </dgm:constrLst>
          <dgm:presOf/>
          <dgm:layoutNode name="text_3" styleLbl="revTx">
            <dgm:varLst>
              <dgm:bulletEnabled val="1"/>
            </dgm:varLst>
            <dgm:choose name="Name46">
              <dgm:if name="Name47" func="var" arg="dir" op="equ" val="norm">
                <dgm:alg type="tx">
                  <dgm:param type="parTxLTRAlign" val="l"/>
                  <dgm:param type="shpTxLTRAlignCh" val="l"/>
                  <dgm:param type="parTxRTLAlign" val="r"/>
                  <dgm:param type="shpTxRTLAlignCh" val="r"/>
                </dgm:alg>
              </dgm:if>
              <dgm:else name="Name48">
                <dgm:alg type="tx">
                  <dgm:param type="parTxLTRAlign" val="r"/>
                  <dgm:param type="shpTxLTRAlignCh" val="r"/>
                  <dgm:param type="parTxRTLAlign" val="r"/>
                  <dgm:param type="shpTxRTLAlignCh" val="r"/>
                </dgm:alg>
              </dgm:else>
            </dgm:choose>
            <dgm:shape xmlns:r="http://schemas.openxmlformats.org/officeDocument/2006/relationships" type="rect" r:blip="">
              <dgm:adjLst/>
            </dgm:shape>
            <dgm:presOf axis="desOrSelf" ptType="node"/>
            <dgm:constrLst>
              <dgm:constr type="userW"/>
              <dgm:constr type="w" refType="userW" fact="0.1"/>
              <dgm:constr type="lMarg" refType="primFontSz" fact="0.3"/>
              <dgm:constr type="rMarg" refType="primFontSz" fact="0.3"/>
              <dgm:constr type="tMarg"/>
              <dgm:constr type="bMarg"/>
            </dgm:constrLst>
            <dgm:ruleLst>
              <dgm:rule type="w" val="NaN" fact="1" max="NaN"/>
              <dgm:rule type="primFontSz" val="5" fact="NaN" max="NaN"/>
            </dgm:ruleLst>
          </dgm:layoutNode>
        </dgm:layoutNode>
      </dgm:forEach>
      <dgm:forEach name="Name49" axis="ch" ptType="sibTrans" hideLastTrans="0" st="4" cnt="1">
        <dgm:layoutNode name="picture_4">
          <dgm:alg type="sp"/>
          <dgm:shape xmlns:r="http://schemas.openxmlformats.org/officeDocument/2006/relationships" r:blip="">
            <dgm:adjLst/>
          </dgm:shape>
          <dgm:presOf/>
          <dgm:constrLst/>
          <dgm:forEach name="Name50" ref="pictureRepeat"/>
        </dgm:layoutNode>
      </dgm:forEach>
      <dgm:forEach name="Name51" axis="ch" ptType="node" st="4" cnt="1">
        <dgm:layoutNode name="line_4" styleLbl="parChTrans1D1">
          <dgm:alg type="sp"/>
          <dgm:shape xmlns:r="http://schemas.openxmlformats.org/officeDocument/2006/relationships" type="line" r:blip="" zOrderOff="-100">
            <dgm:adjLst/>
          </dgm:shape>
          <dgm:presOf/>
        </dgm:layoutNode>
        <dgm:layoutNode name="textparent_4">
          <dgm:choose name="Name52">
            <dgm:if name="Name53" func="var" arg="dir" op="equ" val="norm">
              <dgm:alg type="lin">
                <dgm:param type="horzAlign" val="l"/>
              </dgm:alg>
            </dgm:if>
            <dgm:else name="Name54">
              <dgm:alg type="lin">
                <dgm:param type="horzAlign" val="r"/>
              </dgm:alg>
            </dgm:else>
          </dgm:choose>
          <dgm:shape xmlns:r="http://schemas.openxmlformats.org/officeDocument/2006/relationships" type="rect" r:blip="" hideGeom="1">
            <dgm:adjLst/>
          </dgm:shape>
          <dgm:constrLst>
            <dgm:constr type="userW" for="ch" forName="text_4" refType="w"/>
            <dgm:constr type="h" for="ch" forName="text_4" refType="h"/>
          </dgm:constrLst>
          <dgm:presOf/>
          <dgm:layoutNode name="text_4" styleLbl="revTx">
            <dgm:varLst>
              <dgm:bulletEnabled val="1"/>
            </dgm:varLst>
            <dgm:choose name="Name55">
              <dgm:if name="Name56" func="var" arg="dir" op="equ" val="norm">
                <dgm:alg type="tx">
                  <dgm:param type="parTxLTRAlign" val="l"/>
                  <dgm:param type="shpTxLTRAlignCh" val="l"/>
                  <dgm:param type="parTxRTLAlign" val="r"/>
                  <dgm:param type="shpTxRTLAlignCh" val="r"/>
                </dgm:alg>
              </dgm:if>
              <dgm:else name="Name57">
                <dgm:alg type="tx">
                  <dgm:param type="parTxLTRAlign" val="r"/>
                  <dgm:param type="shpTxLTRAlignCh" val="r"/>
                  <dgm:param type="parTxRTLAlign" val="r"/>
                  <dgm:param type="shpTxRTLAlignCh" val="r"/>
                </dgm:alg>
              </dgm:else>
            </dgm:choose>
            <dgm:shape xmlns:r="http://schemas.openxmlformats.org/officeDocument/2006/relationships" type="rect" r:blip="">
              <dgm:adjLst/>
            </dgm:shape>
            <dgm:presOf axis="desOrSelf" ptType="node"/>
            <dgm:constrLst>
              <dgm:constr type="userW"/>
              <dgm:constr type="w" refType="userW" fact="0.1"/>
              <dgm:constr type="lMarg" refType="primFontSz" fact="0.3"/>
              <dgm:constr type="rMarg" refType="primFontSz" fact="0.3"/>
              <dgm:constr type="tMarg"/>
              <dgm:constr type="bMarg"/>
            </dgm:constrLst>
            <dgm:ruleLst>
              <dgm:rule type="w" val="NaN" fact="1" max="NaN"/>
              <dgm:rule type="primFontSz" val="5" fact="NaN" max="NaN"/>
            </dgm:ruleLst>
          </dgm:layoutNode>
        </dgm:layoutNode>
      </dgm:forEach>
      <dgm:forEach name="Name58" axis="ch" ptType="sibTrans" hideLastTrans="0" st="5" cnt="1">
        <dgm:layoutNode name="picture_5">
          <dgm:alg type="sp"/>
          <dgm:shape xmlns:r="http://schemas.openxmlformats.org/officeDocument/2006/relationships" r:blip="">
            <dgm:adjLst/>
          </dgm:shape>
          <dgm:presOf/>
          <dgm:constrLst/>
          <dgm:forEach name="Name59" ref="pictureRepeat"/>
        </dgm:layoutNode>
      </dgm:forEach>
      <dgm:forEach name="Name60" axis="ch" ptType="node" st="5" cnt="1">
        <dgm:layoutNode name="line_5" styleLbl="parChTrans1D1">
          <dgm:alg type="sp"/>
          <dgm:shape xmlns:r="http://schemas.openxmlformats.org/officeDocument/2006/relationships" type="line" r:blip="" zOrderOff="-100">
            <dgm:adjLst/>
          </dgm:shape>
          <dgm:presOf/>
        </dgm:layoutNode>
        <dgm:layoutNode name="textparent_5">
          <dgm:choose name="Name61">
            <dgm:if name="Name62" func="var" arg="dir" op="equ" val="norm">
              <dgm:alg type="lin">
                <dgm:param type="horzAlign" val="l"/>
              </dgm:alg>
            </dgm:if>
            <dgm:else name="Name63">
              <dgm:alg type="lin">
                <dgm:param type="horzAlign" val="r"/>
              </dgm:alg>
            </dgm:else>
          </dgm:choose>
          <dgm:shape xmlns:r="http://schemas.openxmlformats.org/officeDocument/2006/relationships" type="rect" r:blip="" hideGeom="1">
            <dgm:adjLst/>
          </dgm:shape>
          <dgm:constrLst>
            <dgm:constr type="userW" for="ch" forName="text_5" refType="w"/>
            <dgm:constr type="h" for="ch" forName="text_5" refType="h"/>
          </dgm:constrLst>
          <dgm:presOf/>
          <dgm:layoutNode name="text_5" styleLbl="revTx">
            <dgm:varLst>
              <dgm:bulletEnabled val="1"/>
            </dgm:varLst>
            <dgm:choose name="Name64">
              <dgm:if name="Name65" func="var" arg="dir" op="equ" val="norm">
                <dgm:alg type="tx">
                  <dgm:param type="parTxLTRAlign" val="l"/>
                  <dgm:param type="shpTxLTRAlignCh" val="l"/>
                  <dgm:param type="parTxRTLAlign" val="r"/>
                  <dgm:param type="shpTxRTLAlignCh" val="r"/>
                </dgm:alg>
              </dgm:if>
              <dgm:else name="Name66">
                <dgm:alg type="tx">
                  <dgm:param type="parTxLTRAlign" val="r"/>
                  <dgm:param type="shpTxLTRAlignCh" val="r"/>
                  <dgm:param type="parTxRTLAlign" val="r"/>
                  <dgm:param type="shpTxRTLAlignCh" val="r"/>
                </dgm:alg>
              </dgm:else>
            </dgm:choose>
            <dgm:shape xmlns:r="http://schemas.openxmlformats.org/officeDocument/2006/relationships" type="rect" r:blip="">
              <dgm:adjLst/>
            </dgm:shape>
            <dgm:presOf axis="desOrSelf" ptType="node"/>
            <dgm:constrLst>
              <dgm:constr type="userW"/>
              <dgm:constr type="w" refType="userW" fact="0.1"/>
              <dgm:constr type="lMarg" refType="primFontSz" fact="0.3"/>
              <dgm:constr type="rMarg" refType="primFontSz" fact="0.3"/>
              <dgm:constr type="tMarg"/>
              <dgm:constr type="bMarg"/>
            </dgm:constrLst>
            <dgm:ruleLst>
              <dgm:rule type="w" val="NaN" fact="1" max="NaN"/>
              <dgm:rule type="primFontSz" val="5" fact="NaN" max="NaN"/>
            </dgm:ruleLst>
          </dgm:layoutNode>
        </dgm:layoutNode>
      </dgm:forEach>
      <dgm:forEach name="Name67" axis="ch" ptType="sibTrans" hideLastTrans="0" st="6" cnt="1">
        <dgm:layoutNode name="picture_6">
          <dgm:alg type="sp"/>
          <dgm:shape xmlns:r="http://schemas.openxmlformats.org/officeDocument/2006/relationships" r:blip="">
            <dgm:adjLst/>
          </dgm:shape>
          <dgm:presOf/>
          <dgm:constrLst/>
          <dgm:forEach name="Name68" ref="pictureRepeat"/>
        </dgm:layoutNode>
      </dgm:forEach>
      <dgm:forEach name="Name69" axis="ch" ptType="node" st="6" cnt="1">
        <dgm:layoutNode name="line_6" styleLbl="parChTrans1D1">
          <dgm:alg type="sp"/>
          <dgm:shape xmlns:r="http://schemas.openxmlformats.org/officeDocument/2006/relationships" type="line" r:blip="" zOrderOff="-100">
            <dgm:adjLst/>
          </dgm:shape>
          <dgm:presOf/>
        </dgm:layoutNode>
        <dgm:layoutNode name="textparent_6">
          <dgm:choose name="Name70">
            <dgm:if name="Name71" func="var" arg="dir" op="equ" val="norm">
              <dgm:alg type="lin">
                <dgm:param type="horzAlign" val="l"/>
              </dgm:alg>
            </dgm:if>
            <dgm:else name="Name72">
              <dgm:alg type="lin">
                <dgm:param type="horzAlign" val="r"/>
              </dgm:alg>
            </dgm:else>
          </dgm:choose>
          <dgm:shape xmlns:r="http://schemas.openxmlformats.org/officeDocument/2006/relationships" type="rect" r:blip="" hideGeom="1">
            <dgm:adjLst/>
          </dgm:shape>
          <dgm:constrLst>
            <dgm:constr type="userW" for="ch" forName="text_6" refType="w"/>
            <dgm:constr type="h" for="ch" forName="text_6" refType="h"/>
          </dgm:constrLst>
          <dgm:presOf/>
          <dgm:layoutNode name="text_6" styleLbl="revTx">
            <dgm:varLst>
              <dgm:bulletEnabled val="1"/>
            </dgm:varLst>
            <dgm:choose name="Name73">
              <dgm:if name="Name74" func="var" arg="dir" op="equ" val="norm">
                <dgm:alg type="tx">
                  <dgm:param type="parTxLTRAlign" val="l"/>
                  <dgm:param type="shpTxLTRAlignCh" val="l"/>
                  <dgm:param type="parTxRTLAlign" val="r"/>
                  <dgm:param type="shpTxRTLAlignCh" val="r"/>
                </dgm:alg>
              </dgm:if>
              <dgm:else name="Name75">
                <dgm:alg type="tx">
                  <dgm:param type="parTxLTRAlign" val="r"/>
                  <dgm:param type="shpTxLTRAlignCh" val="r"/>
                  <dgm:param type="parTxRTLAlign" val="r"/>
                  <dgm:param type="shpTxRTLAlignCh" val="r"/>
                </dgm:alg>
              </dgm:else>
            </dgm:choose>
            <dgm:shape xmlns:r="http://schemas.openxmlformats.org/officeDocument/2006/relationships" type="rect" r:blip="">
              <dgm:adjLst/>
            </dgm:shape>
            <dgm:presOf axis="desOrSelf" ptType="node"/>
            <dgm:constrLst>
              <dgm:constr type="userW"/>
              <dgm:constr type="w" refType="userW" fact="0.1"/>
              <dgm:constr type="lMarg" refType="primFontSz" fact="0.3"/>
              <dgm:constr type="rMarg" refType="primFontSz" fact="0.3"/>
              <dgm:constr type="tMarg"/>
              <dgm:constr type="bMarg"/>
            </dgm:constrLst>
            <dgm:ruleLst>
              <dgm:rule type="w" val="NaN" fact="1" max="NaN"/>
              <dgm:rule type="primFontSz" val="5" fact="NaN" max="NaN"/>
            </dgm:ruleLst>
          </dgm:layoutNode>
        </dgm:layoutNode>
      </dgm:forEach>
      <dgm:forEach name="Name76" axis="ch" ptType="sibTrans" hideLastTrans="0" st="7" cnt="1">
        <dgm:layoutNode name="picture_7">
          <dgm:alg type="sp"/>
          <dgm:shape xmlns:r="http://schemas.openxmlformats.org/officeDocument/2006/relationships" r:blip="">
            <dgm:adjLst/>
          </dgm:shape>
          <dgm:presOf/>
          <dgm:constrLst/>
          <dgm:forEach name="Name77" ref="pictureRepeat"/>
        </dgm:layoutNode>
      </dgm:forEach>
      <dgm:forEach name="Name78" axis="ch" ptType="node" st="7" cnt="1">
        <dgm:layoutNode name="line_7" styleLbl="parChTrans1D1">
          <dgm:alg type="sp"/>
          <dgm:shape xmlns:r="http://schemas.openxmlformats.org/officeDocument/2006/relationships" type="line" r:blip="" zOrderOff="-100">
            <dgm:adjLst/>
          </dgm:shape>
          <dgm:presOf/>
        </dgm:layoutNode>
        <dgm:layoutNode name="textparent_7">
          <dgm:choose name="Name79">
            <dgm:if name="Name80" func="var" arg="dir" op="equ" val="norm">
              <dgm:alg type="lin">
                <dgm:param type="horzAlign" val="l"/>
              </dgm:alg>
            </dgm:if>
            <dgm:else name="Name81">
              <dgm:alg type="lin">
                <dgm:param type="horzAlign" val="r"/>
              </dgm:alg>
            </dgm:else>
          </dgm:choose>
          <dgm:shape xmlns:r="http://schemas.openxmlformats.org/officeDocument/2006/relationships" type="rect" r:blip="" hideGeom="1">
            <dgm:adjLst/>
          </dgm:shape>
          <dgm:constrLst>
            <dgm:constr type="userW" for="ch" forName="text_7" refType="w"/>
            <dgm:constr type="h" for="ch" forName="text_7" refType="h"/>
          </dgm:constrLst>
          <dgm:presOf/>
          <dgm:layoutNode name="text_7" styleLbl="revTx">
            <dgm:varLst>
              <dgm:bulletEnabled val="1"/>
            </dgm:varLst>
            <dgm:choose name="Name82">
              <dgm:if name="Name83" func="var" arg="dir" op="equ" val="norm">
                <dgm:alg type="tx">
                  <dgm:param type="parTxLTRAlign" val="l"/>
                  <dgm:param type="shpTxLTRAlignCh" val="l"/>
                  <dgm:param type="parTxRTLAlign" val="r"/>
                  <dgm:param type="shpTxRTLAlignCh" val="r"/>
                </dgm:alg>
              </dgm:if>
              <dgm:else name="Name84">
                <dgm:alg type="tx">
                  <dgm:param type="parTxLTRAlign" val="r"/>
                  <dgm:param type="shpTxLTRAlignCh" val="r"/>
                  <dgm:param type="parTxRTLAlign" val="r"/>
                  <dgm:param type="shpTxRTLAlignCh" val="r"/>
                </dgm:alg>
              </dgm:else>
            </dgm:choose>
            <dgm:shape xmlns:r="http://schemas.openxmlformats.org/officeDocument/2006/relationships" type="rect" r:blip="">
              <dgm:adjLst/>
            </dgm:shape>
            <dgm:presOf axis="desOrSelf" ptType="node"/>
            <dgm:constrLst>
              <dgm:constr type="userW"/>
              <dgm:constr type="w" refType="userW" fact="0.1"/>
              <dgm:constr type="lMarg" refType="primFontSz" fact="0.3"/>
              <dgm:constr type="rMarg" refType="primFontSz" fact="0.3"/>
              <dgm:constr type="tMarg"/>
              <dgm:constr type="bMarg"/>
            </dgm:constrLst>
            <dgm:ruleLst>
              <dgm:rule type="w" val="NaN" fact="1" max="NaN"/>
              <dgm:rule type="primFontSz" val="5" fact="NaN" max="NaN"/>
            </dgm:ruleLst>
          </dgm:layoutNode>
        </dgm:layoutNode>
      </dgm:forEach>
    </dgm:layoutNod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5">
  <dgm:title val=""/>
  <dgm:desc val=""/>
  <dgm:catLst>
    <dgm:cat type="simple" pri="105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5</xdr:row>
          <xdr:rowOff>190500</xdr:rowOff>
        </xdr:from>
        <xdr:to>
          <xdr:col>11</xdr:col>
          <xdr:colOff>257175</xdr:colOff>
          <xdr:row>6</xdr:row>
          <xdr:rowOff>200025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800080"/>
                  </a:solidFill>
                  <a:latin typeface="Century Gothic"/>
                </a:rPr>
                <a:t>copy</a:t>
              </a:r>
            </a:p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800080"/>
                  </a:solidFill>
                  <a:latin typeface="Century Gothic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354418</xdr:colOff>
      <xdr:row>1</xdr:row>
      <xdr:rowOff>66454</xdr:rowOff>
    </xdr:from>
    <xdr:to>
      <xdr:col>4</xdr:col>
      <xdr:colOff>88604</xdr:colOff>
      <xdr:row>2</xdr:row>
      <xdr:rowOff>166136</xdr:rowOff>
    </xdr:to>
    <xdr:graphicFrame macro="">
      <xdr:nvGraphicFramePr>
        <xdr:cNvPr id="16" name="Diagram 15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4</xdr:col>
      <xdr:colOff>686686</xdr:colOff>
      <xdr:row>0</xdr:row>
      <xdr:rowOff>132907</xdr:rowOff>
    </xdr:from>
    <xdr:to>
      <xdr:col>6</xdr:col>
      <xdr:colOff>553780</xdr:colOff>
      <xdr:row>1</xdr:row>
      <xdr:rowOff>22151</xdr:rowOff>
    </xdr:to>
    <xdr:sp macro="" textlink="">
      <xdr:nvSpPr>
        <xdr:cNvPr id="17" name="TextBox 16"/>
        <xdr:cNvSpPr txBox="1"/>
      </xdr:nvSpPr>
      <xdr:spPr>
        <a:xfrm>
          <a:off x="4385930" y="132907"/>
          <a:ext cx="1738867" cy="210436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r>
            <a:rPr lang="en-IN" sz="1400">
              <a:solidFill>
                <a:schemeClr val="bg1"/>
              </a:solidFill>
              <a:latin typeface="Algerian" panose="04020705040A02060702" pitchFamily="82" charset="0"/>
            </a:rPr>
            <a:t>pollachi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Table2" displayName="Table2" ref="C1:M31" totalsRowShown="0">
  <autoFilter ref="C1:M31"/>
  <tableColumns count="11">
    <tableColumn id="2" name="Product Name"/>
    <tableColumn id="3" name="product  price"/>
    <tableColumn id="4" name="Selling Price"/>
    <tableColumn id="10" name="200gr(Mrp)" dataDxfId="8">
      <calculatedColumnFormula>D2/5</calculatedColumnFormula>
    </tableColumn>
    <tableColumn id="11" name="500(Mrp)" dataDxfId="7">
      <calculatedColumnFormula>D2/2</calculatedColumnFormula>
    </tableColumn>
    <tableColumn id="6" name="1kg(Mrp)" dataDxfId="6">
      <calculatedColumnFormula>D2*1</calculatedColumnFormula>
    </tableColumn>
    <tableColumn id="7" name="500gr" dataDxfId="5">
      <calculatedColumnFormula>E2/2</calculatedColumnFormula>
    </tableColumn>
    <tableColumn id="12" name="200gr" dataDxfId="4"/>
    <tableColumn id="1" name="T (Qty)200gr" dataDxfId="3"/>
    <tableColumn id="13" name=" A(Qty)" dataDxfId="2">
      <calculatedColumnFormula>IFERROR(VLOOKUP(Sheet1!D10,Table2[[Product Name]:[ A(Qty)]],9,FALSE)- VLOOKUP(C2,Sheet1!$D$10:$J$39,5,FALSE),K2)</calculatedColumnFormula>
    </tableColumn>
    <tableColumn id="5" name="Column1" dataDxfId="1">
      <calculatedColumnFormula>IFERROR(VLOOKUP(Sheet1!D10,Table2[[#All],[Product Name]:[ A(Qty)]],9,FALSE)," ")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:M2" totalsRowShown="0" headerRowDxfId="0">
  <autoFilter ref="A1:M2"/>
  <tableColumns count="13">
    <tableColumn id="1" name="Sno"/>
    <tableColumn id="2" name="date"/>
    <tableColumn id="3" name="time"/>
    <tableColumn id="4" name="customer name">
      <calculatedColumnFormula>Sheet1!J4</calculatedColumnFormula>
    </tableColumn>
    <tableColumn id="7" name="product Name"/>
    <tableColumn id="8" name="product price"/>
    <tableColumn id="9" name="Price"/>
    <tableColumn id="10" name="Qty"/>
    <tableColumn id="11" name="18% gst"/>
    <tableColumn id="12" name="grand total"/>
    <tableColumn id="13" name="A(Qty) 200gr"/>
    <tableColumn id="15" name="A(Qty) 500gr"/>
    <tableColumn id="16" name="T (Qty)1k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49"/>
  <sheetViews>
    <sheetView tabSelected="1" topLeftCell="A8" zoomScale="86" zoomScaleNormal="86" zoomScaleSheetLayoutView="73" workbookViewId="0">
      <selection activeCell="P21" sqref="P21"/>
    </sheetView>
  </sheetViews>
  <sheetFormatPr defaultRowHeight="16.5" x14ac:dyDescent="0.3"/>
  <cols>
    <col min="1" max="1" width="9" style="5"/>
    <col min="2" max="2" width="3.375" customWidth="1"/>
    <col min="4" max="4" width="18.125" customWidth="1"/>
    <col min="5" max="5" width="16.125" style="5" customWidth="1"/>
    <col min="6" max="6" width="8.5" customWidth="1"/>
    <col min="7" max="7" width="7.625" customWidth="1"/>
    <col min="8" max="8" width="10.125" customWidth="1"/>
    <col min="9" max="9" width="0.125" hidden="1" customWidth="1"/>
    <col min="10" max="10" width="11.875" customWidth="1"/>
    <col min="11" max="11" width="11" customWidth="1"/>
    <col min="13" max="15" width="0" hidden="1" customWidth="1"/>
  </cols>
  <sheetData>
    <row r="1" spans="2:18" ht="25.5" x14ac:dyDescent="0.35">
      <c r="B1" s="31" t="s">
        <v>75</v>
      </c>
      <c r="C1" s="26"/>
      <c r="D1" s="26"/>
      <c r="E1" s="26"/>
      <c r="F1" s="27"/>
      <c r="G1" s="28"/>
      <c r="H1" s="28"/>
      <c r="I1" s="29"/>
      <c r="J1" s="29"/>
      <c r="K1" s="29"/>
      <c r="L1" s="30"/>
    </row>
    <row r="2" spans="2:18" ht="25.5" customHeight="1" x14ac:dyDescent="0.3">
      <c r="B2" s="49" t="s">
        <v>74</v>
      </c>
      <c r="C2" s="50"/>
      <c r="D2" s="50"/>
      <c r="E2" s="50"/>
      <c r="F2" s="50"/>
      <c r="G2" s="50"/>
      <c r="H2" s="50"/>
      <c r="I2" s="50"/>
      <c r="J2" s="50"/>
      <c r="K2" s="50"/>
      <c r="L2" s="51"/>
    </row>
    <row r="3" spans="2:18" ht="25.5" customHeight="1" thickBot="1" x14ac:dyDescent="0.35">
      <c r="B3" s="52"/>
      <c r="C3" s="53"/>
      <c r="D3" s="53"/>
      <c r="E3" s="53"/>
      <c r="F3" s="53"/>
      <c r="G3" s="53"/>
      <c r="H3" s="53"/>
      <c r="I3" s="53"/>
      <c r="J3" s="53"/>
      <c r="K3" s="53"/>
      <c r="L3" s="54"/>
    </row>
    <row r="4" spans="2:18" x14ac:dyDescent="0.3">
      <c r="B4" s="10"/>
      <c r="C4" s="11" t="s">
        <v>21</v>
      </c>
      <c r="D4" s="11" t="str">
        <f ca="1">TEXT(TODAY(),"dd/mm/yyy")</f>
        <v>09/12/2024</v>
      </c>
      <c r="E4" s="11"/>
      <c r="F4" s="14"/>
      <c r="G4" s="14"/>
      <c r="H4" s="12" t="s">
        <v>67</v>
      </c>
      <c r="I4" s="12"/>
      <c r="J4" s="12" t="s">
        <v>20</v>
      </c>
      <c r="K4" s="12"/>
      <c r="L4" s="13"/>
    </row>
    <row r="5" spans="2:18" x14ac:dyDescent="0.3">
      <c r="B5" s="10"/>
      <c r="C5" s="12" t="s">
        <v>22</v>
      </c>
      <c r="D5" s="34" t="str">
        <f ca="1">TEXT(NOW(), "hh:mm:ss AM/PM")</f>
        <v>01:07:24 PM</v>
      </c>
      <c r="E5" s="12"/>
      <c r="F5" s="12"/>
      <c r="G5" s="12"/>
      <c r="H5" s="12" t="s">
        <v>68</v>
      </c>
      <c r="I5" s="12"/>
      <c r="J5" s="12">
        <v>9750213364</v>
      </c>
      <c r="K5" s="12"/>
      <c r="L5" s="13"/>
    </row>
    <row r="6" spans="2:18" ht="17.25" thickBot="1" x14ac:dyDescent="0.35">
      <c r="B6" s="10"/>
      <c r="C6" s="12"/>
      <c r="D6" s="12"/>
      <c r="E6" s="47" t="s">
        <v>66</v>
      </c>
      <c r="F6" s="48"/>
      <c r="G6" s="48"/>
      <c r="H6" s="48"/>
      <c r="I6" s="48"/>
      <c r="J6" s="9"/>
      <c r="K6" s="9"/>
      <c r="L6" s="13"/>
    </row>
    <row r="7" spans="2:18" ht="17.25" thickBot="1" x14ac:dyDescent="0.35">
      <c r="B7" s="10"/>
      <c r="C7" s="9" t="s">
        <v>50</v>
      </c>
      <c r="D7" s="15">
        <v>1</v>
      </c>
      <c r="E7" s="48"/>
      <c r="F7" s="48"/>
      <c r="G7" s="48"/>
      <c r="H7" s="48"/>
      <c r="I7" s="48"/>
      <c r="J7" s="9"/>
      <c r="K7" s="9"/>
      <c r="L7" s="13"/>
      <c r="R7" s="25"/>
    </row>
    <row r="8" spans="2:18" ht="17.25" thickBot="1" x14ac:dyDescent="0.35">
      <c r="B8" s="10"/>
      <c r="C8" s="9"/>
      <c r="D8" s="9"/>
      <c r="E8" s="9"/>
      <c r="F8" s="9"/>
      <c r="G8" s="9"/>
      <c r="H8" s="9"/>
      <c r="I8" s="9"/>
      <c r="J8" s="9"/>
      <c r="K8" s="9"/>
      <c r="L8" s="13"/>
    </row>
    <row r="9" spans="2:18" ht="17.25" thickBot="1" x14ac:dyDescent="0.35">
      <c r="B9" s="10"/>
      <c r="C9" s="22" t="s">
        <v>11</v>
      </c>
      <c r="D9" s="22" t="s">
        <v>71</v>
      </c>
      <c r="E9" s="22" t="s">
        <v>27</v>
      </c>
      <c r="F9" s="22" t="s">
        <v>72</v>
      </c>
      <c r="G9" s="22" t="s">
        <v>73</v>
      </c>
      <c r="H9" s="22" t="s">
        <v>0</v>
      </c>
      <c r="I9" s="22" t="s">
        <v>18</v>
      </c>
      <c r="J9" s="22" t="s">
        <v>63</v>
      </c>
      <c r="K9" s="23" t="s">
        <v>69</v>
      </c>
      <c r="L9" s="13"/>
      <c r="R9" s="24"/>
    </row>
    <row r="10" spans="2:18" x14ac:dyDescent="0.3">
      <c r="B10" s="10"/>
      <c r="C10" s="16">
        <v>1</v>
      </c>
      <c r="D10" s="16" t="s">
        <v>4</v>
      </c>
      <c r="E10" s="16" t="s">
        <v>70</v>
      </c>
      <c r="F10" s="16">
        <f>IFERROR(IF(E10="1kg",VLOOKUP(D10,Table2[],2,FALSE)*H10,IF(E10="200grams",VLOOKUP(D10,Table2[],4,FALSE)*H10,IF(E10="500grams",(VLOOKUP(D10,Table2[],5,FALSE))*H10," ")))," ")</f>
        <v>80</v>
      </c>
      <c r="G10" s="16">
        <f>IFERROR(IF(E10="1kg", VLOOKUP(D10,Table2[],3,FALSE) *H10,IF(E10="500grams", VLOOKUP(D10,Table2[],7,FALSE) *H10,VLOOKUP(D10,Table2[],8,0)*H10))," ")</f>
        <v>72</v>
      </c>
      <c r="H10" s="16">
        <v>2</v>
      </c>
      <c r="I10" s="16">
        <f>IFERROR(G10*0.18," ")</f>
        <v>12.959999999999999</v>
      </c>
      <c r="J10" s="16">
        <f>IFERROR(F10-G10," ")</f>
        <v>8</v>
      </c>
      <c r="K10" s="13">
        <f>IFERROR(G10*H10, " ")</f>
        <v>144</v>
      </c>
      <c r="L10" s="13"/>
    </row>
    <row r="11" spans="2:18" x14ac:dyDescent="0.3">
      <c r="B11" s="10"/>
      <c r="C11" s="16">
        <f>C10+1</f>
        <v>2</v>
      </c>
      <c r="D11" s="16" t="s">
        <v>5</v>
      </c>
      <c r="E11" s="16" t="s">
        <v>62</v>
      </c>
      <c r="F11" s="16">
        <f>IFERROR(IF(E11="1kg",VLOOKUP(D11,Table2[],2,FALSE)*H11,IF(E11="200grams",VLOOKUP(D11,Table2[],4,FALSE)*H11,IF(E11="500grams",(VLOOKUP(D11,Table2[],5,FALSE))*H11," ")))," ")</f>
        <v>1000</v>
      </c>
      <c r="G11" s="16">
        <f>IFERROR(IF(E11="1kg", VLOOKUP(D11,Table2[],3,FALSE) *H11,IF(E11="500grams", VLOOKUP(D11,Table2[],7,FALSE) *H11,VLOOKUP(D11,Table2[],8,0)*H11))," ")</f>
        <v>940</v>
      </c>
      <c r="H11" s="16">
        <v>5</v>
      </c>
      <c r="I11" s="16"/>
      <c r="J11" s="16">
        <f t="shared" ref="J11:J23" si="0">IFERROR(F11-G11," ")</f>
        <v>60</v>
      </c>
      <c r="K11" s="13">
        <f t="shared" ref="K11:K23" si="1">IFERROR(G11*H11, " ")</f>
        <v>4700</v>
      </c>
      <c r="L11" s="13"/>
      <c r="M11" s="5"/>
    </row>
    <row r="12" spans="2:18" x14ac:dyDescent="0.3">
      <c r="B12" s="10"/>
      <c r="C12" s="16">
        <f t="shared" ref="C12:C23" si="2">C11+1</f>
        <v>3</v>
      </c>
      <c r="D12" s="16" t="s">
        <v>8</v>
      </c>
      <c r="E12" s="16" t="s">
        <v>62</v>
      </c>
      <c r="F12" s="16">
        <f>IFERROR(IF(E12="1kg",VLOOKUP(D12,Table2[],2,FALSE)*H12,IF(E12="200grams",VLOOKUP(D12,Table2[],4,FALSE)*H12,IF(E12="500grams",(VLOOKUP(D12,Table2[],5,FALSE))*H12," ")))," ")</f>
        <v>200</v>
      </c>
      <c r="G12" s="16">
        <f>IFERROR(IF(E12="1kg", VLOOKUP(D12,Table2[],3,FALSE) *H12,IF(E12="500grams", VLOOKUP(D12,Table2[],7,FALSE) *H12,VLOOKUP(D12,Table2[],8,0)*H12))," ")</f>
        <v>190</v>
      </c>
      <c r="H12" s="16">
        <v>1</v>
      </c>
      <c r="I12" s="16">
        <f t="shared" ref="I12:I23" si="3">IFERROR(G12*0.18," ")</f>
        <v>34.199999999999996</v>
      </c>
      <c r="J12" s="16">
        <f t="shared" si="0"/>
        <v>10</v>
      </c>
      <c r="K12" s="13">
        <f t="shared" si="1"/>
        <v>190</v>
      </c>
      <c r="L12" s="13"/>
      <c r="M12" s="5"/>
    </row>
    <row r="13" spans="2:18" x14ac:dyDescent="0.3">
      <c r="B13" s="10"/>
      <c r="C13" s="16">
        <f t="shared" si="2"/>
        <v>4</v>
      </c>
      <c r="D13" s="16" t="s">
        <v>7</v>
      </c>
      <c r="E13" s="16" t="s">
        <v>70</v>
      </c>
      <c r="F13" s="16">
        <f>IFERROR(IF(E13="1kg",VLOOKUP(D13,Table2[],2,FALSE)*H13,IF(E13="200grams",VLOOKUP(D13,Table2[],4,FALSE)*H13,IF(E13="500grams",(VLOOKUP(D13,Table2[],5,FALSE))*H13," ")))," ")</f>
        <v>60</v>
      </c>
      <c r="G13" s="16">
        <f>IFERROR(IF(E13="1kg", VLOOKUP(D13,Table2[],3,FALSE) *H13,IF(E13="500grams", VLOOKUP(D13,Table2[],7,FALSE) *H13,VLOOKUP(D13,Table2[],8,0)*H13))," ")</f>
        <v>59.400000000000006</v>
      </c>
      <c r="H13" s="16">
        <v>3</v>
      </c>
      <c r="I13" s="16">
        <f t="shared" si="3"/>
        <v>10.692</v>
      </c>
      <c r="J13" s="16">
        <f t="shared" si="0"/>
        <v>0.59999999999999432</v>
      </c>
      <c r="K13" s="13">
        <f t="shared" si="1"/>
        <v>178.20000000000002</v>
      </c>
      <c r="L13" s="13"/>
      <c r="M13" s="5"/>
    </row>
    <row r="14" spans="2:18" x14ac:dyDescent="0.3">
      <c r="B14" s="10"/>
      <c r="C14" s="16">
        <f t="shared" si="2"/>
        <v>5</v>
      </c>
      <c r="D14" s="16" t="s">
        <v>26</v>
      </c>
      <c r="E14" s="16" t="s">
        <v>64</v>
      </c>
      <c r="F14" s="16">
        <f>IFERROR(IF(E14="1kg",VLOOKUP(D14,Table2[],2,FALSE)*H14,IF(E14="200grams",VLOOKUP(D14,Table2[],4,FALSE)*H14,IF(E14="500grams",(VLOOKUP(D14,Table2[],5,FALSE))*H14," ")))," ")</f>
        <v>150</v>
      </c>
      <c r="G14" s="16">
        <f>IFERROR(IF(E14="1kg", VLOOKUP(D14,Table2[],3,FALSE) *H14,IF(E14="500grams", VLOOKUP(D14,Table2[],7,FALSE) *H14,VLOOKUP(D14,Table2[],8,0)*H14))," ")</f>
        <v>145</v>
      </c>
      <c r="H14" s="16">
        <v>2</v>
      </c>
      <c r="I14" s="16">
        <f t="shared" si="3"/>
        <v>26.099999999999998</v>
      </c>
      <c r="J14" s="16">
        <f t="shared" si="0"/>
        <v>5</v>
      </c>
      <c r="K14" s="13">
        <f t="shared" si="1"/>
        <v>290</v>
      </c>
      <c r="L14" s="13"/>
      <c r="M14" s="5"/>
    </row>
    <row r="15" spans="2:18" x14ac:dyDescent="0.3">
      <c r="B15" s="10"/>
      <c r="C15" s="16">
        <f t="shared" si="2"/>
        <v>6</v>
      </c>
      <c r="D15" s="16" t="s">
        <v>6</v>
      </c>
      <c r="E15" s="16" t="s">
        <v>64</v>
      </c>
      <c r="F15" s="16">
        <f>IFERROR(IF(E15="1kg",VLOOKUP(D15,Table2[],2,FALSE)*H15,IF(E15="200grams",VLOOKUP(D15,Table2[],4,FALSE)*H15,IF(E15="500grams",(VLOOKUP(D15,Table2[],5,FALSE))*H15," ")))," ")</f>
        <v>150</v>
      </c>
      <c r="G15" s="16">
        <f>IFERROR(IF(E15="1kg", VLOOKUP(D15,Table2[],3,FALSE) *H15,IF(E15="500grams", VLOOKUP(D15,Table2[],7,FALSE) *H15,VLOOKUP(D15,Table2[],8,0)*H15))," ")</f>
        <v>140</v>
      </c>
      <c r="H15" s="16">
        <v>1</v>
      </c>
      <c r="I15" s="16">
        <f t="shared" si="3"/>
        <v>25.2</v>
      </c>
      <c r="J15" s="16">
        <f t="shared" si="0"/>
        <v>10</v>
      </c>
      <c r="K15" s="13">
        <f t="shared" si="1"/>
        <v>140</v>
      </c>
      <c r="L15" s="13"/>
    </row>
    <row r="16" spans="2:18" x14ac:dyDescent="0.3">
      <c r="B16" s="10"/>
      <c r="C16" s="16">
        <f t="shared" si="2"/>
        <v>7</v>
      </c>
      <c r="D16" s="16"/>
      <c r="E16" s="16"/>
      <c r="F16" s="16" t="str">
        <f>IFERROR(IF(E16="1kg",VLOOKUP(D16,Table2[],2,FALSE)*H16,IF(E16="200grams",VLOOKUP(D16,Table2[],4,FALSE)*H16,IF(E16="500grams",(VLOOKUP(D16,Table2[],5,FALSE))*H16," ")))," ")</f>
        <v xml:space="preserve"> </v>
      </c>
      <c r="G16" s="16" t="str">
        <f>IFERROR(IF(E16="1kg", VLOOKUP(D16,Table2[],3,FALSE) *H16,IF(E16="500grams", VLOOKUP(D16,Table2[],7,FALSE) *H16,VLOOKUP(D16,Table2[],8,0)*H16))," ")</f>
        <v xml:space="preserve"> </v>
      </c>
      <c r="H16" s="16"/>
      <c r="I16" s="16" t="str">
        <f t="shared" si="3"/>
        <v xml:space="preserve"> </v>
      </c>
      <c r="J16" s="16" t="str">
        <f t="shared" si="0"/>
        <v xml:space="preserve"> </v>
      </c>
      <c r="K16" s="13" t="str">
        <f t="shared" si="1"/>
        <v xml:space="preserve"> </v>
      </c>
      <c r="L16" s="13"/>
    </row>
    <row r="17" spans="2:12" x14ac:dyDescent="0.3">
      <c r="B17" s="10"/>
      <c r="C17" s="16">
        <f t="shared" si="2"/>
        <v>8</v>
      </c>
      <c r="D17" s="16"/>
      <c r="E17" s="16"/>
      <c r="F17" s="16" t="str">
        <f>IFERROR(IF(E17="1kg",VLOOKUP(D17,Table2[],2,FALSE)*H17,IF(E17="200grams",VLOOKUP(D17,Table2[],4,FALSE)*H17,IF(E17="500grams",(VLOOKUP(D17,Table2[],5,FALSE))*H17," ")))," ")</f>
        <v xml:space="preserve"> </v>
      </c>
      <c r="G17" s="16" t="str">
        <f>IFERROR(IF(E17="1kg", VLOOKUP(D17,Table2[],3,FALSE) *H17,IF(E17="500grams", VLOOKUP(D17,Table2[],7,FALSE) *H17,VLOOKUP(D17,Table2[],8,0)*H17))," ")</f>
        <v xml:space="preserve"> </v>
      </c>
      <c r="H17" s="16"/>
      <c r="I17" s="16" t="str">
        <f t="shared" si="3"/>
        <v xml:space="preserve"> </v>
      </c>
      <c r="J17" s="16" t="str">
        <f t="shared" si="0"/>
        <v xml:space="preserve"> </v>
      </c>
      <c r="K17" s="13" t="str">
        <f t="shared" si="1"/>
        <v xml:space="preserve"> </v>
      </c>
      <c r="L17" s="13"/>
    </row>
    <row r="18" spans="2:12" x14ac:dyDescent="0.3">
      <c r="B18" s="10"/>
      <c r="C18" s="16">
        <f t="shared" si="2"/>
        <v>9</v>
      </c>
      <c r="D18" s="16"/>
      <c r="E18" s="16"/>
      <c r="F18" s="16" t="str">
        <f>IFERROR(IF(E18="1kg",VLOOKUP(D18,Table2[],2,FALSE)*H18,IF(E18="200grams",VLOOKUP(D18,Table2[],4,FALSE)*H18,IF(E18="500grams",(VLOOKUP(D18,Table2[],5,FALSE))*H18," ")))," ")</f>
        <v xml:space="preserve"> </v>
      </c>
      <c r="G18" s="16" t="str">
        <f>IFERROR(IF(E18="1kg", VLOOKUP(D18,Table2[],3,FALSE) *H18,IF(E18="500grams", VLOOKUP(D18,Table2[],7,FALSE) *H18,VLOOKUP(D18,Table2[],8,0)*H18))," ")</f>
        <v xml:space="preserve"> </v>
      </c>
      <c r="H18" s="16"/>
      <c r="I18" s="16" t="str">
        <f t="shared" si="3"/>
        <v xml:space="preserve"> </v>
      </c>
      <c r="J18" s="16" t="str">
        <f t="shared" si="0"/>
        <v xml:space="preserve"> </v>
      </c>
      <c r="K18" s="13" t="str">
        <f t="shared" si="1"/>
        <v xml:space="preserve"> </v>
      </c>
      <c r="L18" s="13"/>
    </row>
    <row r="19" spans="2:12" x14ac:dyDescent="0.3">
      <c r="B19" s="10"/>
      <c r="C19" s="16">
        <f t="shared" si="2"/>
        <v>10</v>
      </c>
      <c r="D19" s="16"/>
      <c r="E19" s="16"/>
      <c r="F19" s="16" t="str">
        <f>IFERROR(IF(E19="1kg",VLOOKUP(D19,Table2[],2,FALSE)*H19,IF(E19="200grams",VLOOKUP(D19,Table2[],4,FALSE)*H19,IF(E19="500grams",(VLOOKUP(D19,Table2[],5,FALSE))*H19," ")))," ")</f>
        <v xml:space="preserve"> </v>
      </c>
      <c r="G19" s="16" t="str">
        <f>IFERROR(IF(E19="1kg", VLOOKUP(D19,Table2[],3,FALSE) *H19,IF(E19="500grams", VLOOKUP(D19,Table2[],7,FALSE) *H19,VLOOKUP(D19,Table2[],8,0)*H19))," ")</f>
        <v xml:space="preserve"> </v>
      </c>
      <c r="H19" s="16"/>
      <c r="I19" s="16" t="str">
        <f t="shared" si="3"/>
        <v xml:space="preserve"> </v>
      </c>
      <c r="J19" s="16" t="str">
        <f t="shared" si="0"/>
        <v xml:space="preserve"> </v>
      </c>
      <c r="K19" s="13" t="str">
        <f t="shared" si="1"/>
        <v xml:space="preserve"> </v>
      </c>
      <c r="L19" s="13"/>
    </row>
    <row r="20" spans="2:12" x14ac:dyDescent="0.3">
      <c r="B20" s="10"/>
      <c r="C20" s="16">
        <f t="shared" si="2"/>
        <v>11</v>
      </c>
      <c r="D20" s="16"/>
      <c r="E20" s="16"/>
      <c r="F20" s="16" t="str">
        <f>IFERROR(IF(E20="1kg",VLOOKUP(D20,Table2[],2,FALSE)*H20,IF(E20="200grams",VLOOKUP(D20,Table2[],4,FALSE)*H20,IF(E20="500grams",(VLOOKUP(D20,Table2[],5,FALSE))*H20," ")))," ")</f>
        <v xml:space="preserve"> </v>
      </c>
      <c r="G20" s="16" t="str">
        <f>IFERROR(IF(E20="1kg", VLOOKUP(D20,Table2[],3,FALSE) *H20,IF(E20="500grams", VLOOKUP(D20,Table2[],7,FALSE) *H20,VLOOKUP(D20,Table2[],8,0)*H20))," ")</f>
        <v xml:space="preserve"> </v>
      </c>
      <c r="H20" s="16"/>
      <c r="I20" s="16" t="str">
        <f t="shared" si="3"/>
        <v xml:space="preserve"> </v>
      </c>
      <c r="J20" s="16" t="str">
        <f t="shared" si="0"/>
        <v xml:space="preserve"> </v>
      </c>
      <c r="K20" s="13" t="str">
        <f t="shared" si="1"/>
        <v xml:space="preserve"> </v>
      </c>
      <c r="L20" s="13"/>
    </row>
    <row r="21" spans="2:12" x14ac:dyDescent="0.3">
      <c r="B21" s="10"/>
      <c r="C21" s="16">
        <f t="shared" si="2"/>
        <v>12</v>
      </c>
      <c r="D21" s="16"/>
      <c r="E21" s="16"/>
      <c r="F21" s="16" t="str">
        <f>IFERROR(IF(E21="1kg",VLOOKUP(D21,Table2[],2,FALSE)*H21,IF(E21="200grams",VLOOKUP(D21,Table2[],4,FALSE)*H21,IF(E21="500grams",(VLOOKUP(D21,Table2[],5,FALSE))*H21," ")))," ")</f>
        <v xml:space="preserve"> </v>
      </c>
      <c r="G21" s="16" t="str">
        <f>IFERROR(IF(E21="1kg", VLOOKUP(D21,Table2[],3,FALSE) *H21,IF(E21="500grams", VLOOKUP(D21,Table2[],7,FALSE) *H21,VLOOKUP(D21,Table2[],8,0)*H21))," ")</f>
        <v xml:space="preserve"> </v>
      </c>
      <c r="H21" s="16"/>
      <c r="I21" s="16" t="str">
        <f t="shared" si="3"/>
        <v xml:space="preserve"> </v>
      </c>
      <c r="J21" s="16" t="str">
        <f t="shared" si="0"/>
        <v xml:space="preserve"> </v>
      </c>
      <c r="K21" s="13" t="str">
        <f t="shared" si="1"/>
        <v xml:space="preserve"> </v>
      </c>
      <c r="L21" s="13"/>
    </row>
    <row r="22" spans="2:12" x14ac:dyDescent="0.3">
      <c r="B22" s="10"/>
      <c r="C22" s="16">
        <f t="shared" si="2"/>
        <v>13</v>
      </c>
      <c r="D22" s="16"/>
      <c r="E22" s="16"/>
      <c r="F22" s="16" t="str">
        <f>IFERROR(IF(E22="1kg",VLOOKUP(D22,Table2[],2,FALSE)*H22,IF(E22="200grams",VLOOKUP(D22,Table2[],4,FALSE)*H22,IF(E22="500grams",(VLOOKUP(D22,Table2[],5,FALSE))*H22," ")))," ")</f>
        <v xml:space="preserve"> </v>
      </c>
      <c r="G22" s="16" t="str">
        <f>IFERROR(IF(E22="1kg", VLOOKUP(D22,Table2[],3,FALSE) *H22,IF(E22="500grams", VLOOKUP(D22,Table2[],7,FALSE) *H22,VLOOKUP(D22,Table2[],8,0)*H22))," ")</f>
        <v xml:space="preserve"> </v>
      </c>
      <c r="H22" s="16"/>
      <c r="I22" s="16" t="str">
        <f t="shared" si="3"/>
        <v xml:space="preserve"> </v>
      </c>
      <c r="J22" s="16" t="str">
        <f t="shared" si="0"/>
        <v xml:space="preserve"> </v>
      </c>
      <c r="K22" s="13" t="str">
        <f t="shared" si="1"/>
        <v xml:space="preserve"> </v>
      </c>
      <c r="L22" s="13"/>
    </row>
    <row r="23" spans="2:12" ht="17.25" thickBot="1" x14ac:dyDescent="0.35">
      <c r="B23" s="10"/>
      <c r="C23" s="17">
        <f t="shared" si="2"/>
        <v>14</v>
      </c>
      <c r="D23" s="17"/>
      <c r="E23" s="17"/>
      <c r="F23" s="17" t="str">
        <f>IFERROR(IF(E23="1kg",VLOOKUP(D23,Table2[],2,FALSE)*H23,IF(E23="200grams",VLOOKUP(D23,Table2[],4,FALSE)*H23,IF(E23="500grams",(VLOOKUP(D23,Table2[],5,FALSE))*H23," ")))," ")</f>
        <v xml:space="preserve"> </v>
      </c>
      <c r="G23" s="17" t="str">
        <f>IFERROR(IF(E23="1kg", VLOOKUP(D23,Table2[],3,FALSE) *H23,IF(E23="500grams", VLOOKUP(D23,Table2[],7,FALSE) *H23,VLOOKUP(D23,Table2[],8,0)*H23))," ")</f>
        <v xml:space="preserve"> </v>
      </c>
      <c r="H23" s="17"/>
      <c r="I23" s="17" t="str">
        <f t="shared" si="3"/>
        <v xml:space="preserve"> </v>
      </c>
      <c r="J23" s="17" t="str">
        <f t="shared" si="0"/>
        <v xml:space="preserve"> </v>
      </c>
      <c r="K23" s="13" t="str">
        <f t="shared" si="1"/>
        <v xml:space="preserve"> </v>
      </c>
      <c r="L23" s="13"/>
    </row>
    <row r="24" spans="2:12" ht="19.5" thickBot="1" x14ac:dyDescent="0.45">
      <c r="B24" s="10"/>
      <c r="C24" s="9"/>
      <c r="D24" s="9"/>
      <c r="E24" s="9"/>
      <c r="F24" s="9"/>
      <c r="G24" s="35"/>
      <c r="H24" s="9"/>
      <c r="I24" s="9">
        <f>SUM(F10:F23)</f>
        <v>1640</v>
      </c>
      <c r="J24" s="41" t="s">
        <v>69</v>
      </c>
      <c r="K24" s="38">
        <f>SUM(K10:K23)</f>
        <v>5642.2</v>
      </c>
      <c r="L24" s="13"/>
    </row>
    <row r="25" spans="2:12" ht="19.5" thickBot="1" x14ac:dyDescent="0.45">
      <c r="B25" s="10"/>
      <c r="C25" s="9"/>
      <c r="D25" s="9"/>
      <c r="E25" s="9"/>
      <c r="F25" s="9"/>
      <c r="G25" s="36"/>
      <c r="H25" s="9"/>
      <c r="I25" s="9">
        <f>SUM(K10:K23)</f>
        <v>5642.2</v>
      </c>
      <c r="J25" s="42" t="s">
        <v>81</v>
      </c>
      <c r="K25" s="21">
        <f>SUM(J10:J23)</f>
        <v>93.6</v>
      </c>
      <c r="L25" s="13"/>
    </row>
    <row r="26" spans="2:12" ht="19.5" thickBot="1" x14ac:dyDescent="0.45">
      <c r="B26" s="10"/>
      <c r="C26" s="9"/>
      <c r="D26" s="9"/>
      <c r="E26" s="9"/>
      <c r="F26" s="9"/>
      <c r="G26" s="37"/>
      <c r="H26" s="9"/>
      <c r="I26" s="9">
        <f>I24-I25</f>
        <v>-4002.2</v>
      </c>
      <c r="J26" s="42" t="s">
        <v>82</v>
      </c>
      <c r="K26" s="21">
        <f>K24+K25</f>
        <v>5735.8</v>
      </c>
      <c r="L26" s="13"/>
    </row>
    <row r="27" spans="2:12" ht="19.5" thickBot="1" x14ac:dyDescent="0.45">
      <c r="B27" s="10"/>
      <c r="C27" s="9"/>
      <c r="D27" s="9"/>
      <c r="E27" s="9"/>
      <c r="F27" s="9"/>
      <c r="G27" s="37"/>
      <c r="H27" s="9"/>
      <c r="I27" s="9"/>
      <c r="J27" s="42" t="s">
        <v>79</v>
      </c>
      <c r="K27" s="21">
        <f>K26*9%</f>
        <v>516.22199999999998</v>
      </c>
      <c r="L27" s="13"/>
    </row>
    <row r="28" spans="2:12" ht="19.5" thickBot="1" x14ac:dyDescent="0.45">
      <c r="B28" s="10"/>
      <c r="C28" s="9"/>
      <c r="D28" s="9"/>
      <c r="E28" s="9"/>
      <c r="F28" s="9"/>
      <c r="G28" s="37"/>
      <c r="H28" s="9"/>
      <c r="I28" s="9"/>
      <c r="J28" s="42" t="s">
        <v>78</v>
      </c>
      <c r="K28" s="21">
        <f>K26*9%</f>
        <v>516.22199999999998</v>
      </c>
      <c r="L28" s="13"/>
    </row>
    <row r="29" spans="2:12" ht="18.75" x14ac:dyDescent="0.3">
      <c r="B29" s="10"/>
      <c r="C29" s="9"/>
      <c r="D29" s="43" t="s">
        <v>83</v>
      </c>
      <c r="E29" s="44">
        <f>COUNTA(D10:D23)</f>
        <v>6</v>
      </c>
      <c r="F29" s="14"/>
      <c r="G29" s="14"/>
      <c r="H29" s="9"/>
      <c r="I29" s="9"/>
      <c r="J29" s="10"/>
      <c r="K29" s="13"/>
      <c r="L29" s="13"/>
    </row>
    <row r="30" spans="2:12" ht="17.25" thickBot="1" x14ac:dyDescent="0.35">
      <c r="B30" s="10"/>
      <c r="C30" s="9"/>
      <c r="D30" s="46" t="s">
        <v>84</v>
      </c>
      <c r="E30" s="45">
        <f>K30</f>
        <v>6768.2439999999997</v>
      </c>
      <c r="F30" s="9"/>
      <c r="G30" s="9"/>
      <c r="H30" s="9"/>
      <c r="I30" s="9"/>
      <c r="J30" s="40" t="s">
        <v>80</v>
      </c>
      <c r="K30" s="39">
        <f>SUM(K26:K28)</f>
        <v>6768.2439999999997</v>
      </c>
      <c r="L30" s="13"/>
    </row>
    <row r="31" spans="2:12" ht="17.25" thickBot="1" x14ac:dyDescent="0.35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18"/>
    </row>
    <row r="32" spans="2:12" x14ac:dyDescent="0.3"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</row>
    <row r="33" spans="2:12" x14ac:dyDescent="0.3"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</row>
    <row r="34" spans="2:12" x14ac:dyDescent="0.3"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</row>
    <row r="35" spans="2:12" x14ac:dyDescent="0.3"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</row>
    <row r="36" spans="2:12" x14ac:dyDescent="0.3">
      <c r="B36" s="9"/>
      <c r="C36" s="8"/>
      <c r="D36" s="8"/>
      <c r="E36" s="8"/>
      <c r="F36" s="8"/>
      <c r="G36" s="8"/>
      <c r="H36" s="8"/>
      <c r="I36" s="8"/>
      <c r="J36" s="8"/>
      <c r="K36" s="8"/>
      <c r="L36" s="9"/>
    </row>
    <row r="37" spans="2:12" x14ac:dyDescent="0.3">
      <c r="B37" s="9"/>
      <c r="C37" s="8"/>
      <c r="D37" s="8"/>
      <c r="E37" s="8"/>
      <c r="F37" s="8"/>
      <c r="G37" s="8"/>
      <c r="H37" s="8"/>
      <c r="I37" s="8"/>
      <c r="J37" s="8"/>
      <c r="K37" s="8"/>
      <c r="L37" s="9"/>
    </row>
    <row r="38" spans="2:12" x14ac:dyDescent="0.3">
      <c r="B38" s="9"/>
      <c r="C38" s="8"/>
      <c r="E38" s="8"/>
      <c r="F38" s="8"/>
      <c r="G38" s="8"/>
      <c r="H38" s="8"/>
      <c r="I38" s="8"/>
      <c r="J38" s="8"/>
      <c r="K38" s="8"/>
      <c r="L38" s="9"/>
    </row>
    <row r="39" spans="2:12" x14ac:dyDescent="0.3">
      <c r="B39" s="9"/>
      <c r="L39" s="9"/>
    </row>
    <row r="40" spans="2:12" x14ac:dyDescent="0.3">
      <c r="B40" s="9"/>
      <c r="L40" s="9"/>
    </row>
    <row r="41" spans="2:12" x14ac:dyDescent="0.3">
      <c r="B41" s="9"/>
      <c r="L41" s="9"/>
    </row>
    <row r="42" spans="2:12" x14ac:dyDescent="0.3">
      <c r="L42" s="8"/>
    </row>
    <row r="43" spans="2:12" x14ac:dyDescent="0.3">
      <c r="L43" s="8"/>
    </row>
    <row r="44" spans="2:12" x14ac:dyDescent="0.3">
      <c r="L44" s="8"/>
    </row>
    <row r="45" spans="2:12" x14ac:dyDescent="0.3">
      <c r="L45" s="8"/>
    </row>
    <row r="46" spans="2:12" x14ac:dyDescent="0.3">
      <c r="L46" s="8"/>
    </row>
    <row r="47" spans="2:12" x14ac:dyDescent="0.3">
      <c r="L47" s="8"/>
    </row>
    <row r="48" spans="2:12" x14ac:dyDescent="0.3">
      <c r="L48" s="8"/>
    </row>
    <row r="49" spans="12:12" x14ac:dyDescent="0.3">
      <c r="L49" s="8"/>
    </row>
  </sheetData>
  <mergeCells count="2">
    <mergeCell ref="E6:I7"/>
    <mergeCell ref="B2:L3"/>
  </mergeCells>
  <dataValidations count="1">
    <dataValidation type="list" allowBlank="1" showErrorMessage="1" sqref="E10:E23 D25:D28">
      <formula1>"200grams,500grams,1kg"</formula1>
    </dataValidation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SaveAsPDF">
                <anchor moveWithCells="1" sizeWithCells="1">
                  <from>
                    <xdr:col>10</xdr:col>
                    <xdr:colOff>95250</xdr:colOff>
                    <xdr:row>5</xdr:row>
                    <xdr:rowOff>190500</xdr:rowOff>
                  </from>
                  <to>
                    <xdr:col>11</xdr:col>
                    <xdr:colOff>257175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21786" divId="parthi excel project 1_21786" sourceType="sheet" destinationFile="C:\Users\PARTHIPAN\Documents\parthi excel project 1.htm" autoRepublish="1"/>
  </webPublishItem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items!$C$2:$C$31</xm:f>
          </x14:formula1>
          <xm:sqref>D10:D23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2"/>
  <sheetViews>
    <sheetView zoomScale="93" zoomScaleNormal="93" workbookViewId="0">
      <selection activeCell="P14" sqref="P14"/>
    </sheetView>
  </sheetViews>
  <sheetFormatPr defaultRowHeight="16.5" x14ac:dyDescent="0.3"/>
  <cols>
    <col min="1" max="2" width="9" style="5"/>
    <col min="3" max="3" width="12" customWidth="1"/>
    <col min="4" max="4" width="15.625" customWidth="1"/>
    <col min="5" max="5" width="15.5" customWidth="1"/>
    <col min="6" max="6" width="13.875" customWidth="1"/>
    <col min="7" max="7" width="13" customWidth="1"/>
    <col min="8" max="9" width="12.75" customWidth="1"/>
    <col min="13" max="13" width="0" hidden="1" customWidth="1"/>
  </cols>
  <sheetData>
    <row r="1" spans="3:15" x14ac:dyDescent="0.3">
      <c r="C1" s="32" t="s">
        <v>1</v>
      </c>
      <c r="D1" s="32" t="s">
        <v>2</v>
      </c>
      <c r="E1" s="32" t="s">
        <v>3</v>
      </c>
      <c r="F1" s="32" t="s">
        <v>15</v>
      </c>
      <c r="G1" s="32" t="s">
        <v>16</v>
      </c>
      <c r="H1" s="32" t="s">
        <v>17</v>
      </c>
      <c r="I1" s="32" t="s">
        <v>10</v>
      </c>
      <c r="J1" s="32" t="s">
        <v>9</v>
      </c>
      <c r="K1" s="33" t="s">
        <v>53</v>
      </c>
      <c r="L1" s="32" t="s">
        <v>61</v>
      </c>
      <c r="M1" t="s">
        <v>65</v>
      </c>
    </row>
    <row r="2" spans="3:15" x14ac:dyDescent="0.3">
      <c r="C2" t="s">
        <v>4</v>
      </c>
      <c r="D2">
        <v>200</v>
      </c>
      <c r="E2">
        <v>180</v>
      </c>
      <c r="F2">
        <f t="shared" ref="F2:F31" si="0">D2/5</f>
        <v>40</v>
      </c>
      <c r="G2">
        <f t="shared" ref="G2:G31" si="1">D2/2</f>
        <v>100</v>
      </c>
      <c r="H2">
        <f t="shared" ref="H2:H31" si="2">D2*1</f>
        <v>200</v>
      </c>
      <c r="I2">
        <f t="shared" ref="I2:I31" si="3">E2/2</f>
        <v>90</v>
      </c>
      <c r="J2" s="1">
        <f t="shared" ref="J2:J30" si="4">E2/5</f>
        <v>36</v>
      </c>
      <c r="K2" s="1">
        <v>50</v>
      </c>
      <c r="L2" s="1">
        <f>IFERROR(VLOOKUP(Sheet1!D10,Table2[[Product Name]:[ A(Qty)]],9,FALSE)- VLOOKUP(C2,Sheet1!$D$10:$J$39,5,FALSE),K2)</f>
        <v>48</v>
      </c>
      <c r="M2" s="1">
        <f>IFERROR(VLOOKUP(Sheet1!D10,Table2[[#All],[Product Name]:[ A(Qty)]],9,FALSE)," ")</f>
        <v>50</v>
      </c>
      <c r="O2" t="str">
        <f>INDEX(Sheet1!C10:K30,2,3)</f>
        <v>1kg</v>
      </c>
    </row>
    <row r="3" spans="3:15" x14ac:dyDescent="0.3">
      <c r="C3" t="s">
        <v>7</v>
      </c>
      <c r="D3">
        <v>100</v>
      </c>
      <c r="E3">
        <v>99</v>
      </c>
      <c r="F3">
        <f t="shared" si="0"/>
        <v>20</v>
      </c>
      <c r="G3">
        <f t="shared" si="1"/>
        <v>50</v>
      </c>
      <c r="H3">
        <f t="shared" si="2"/>
        <v>100</v>
      </c>
      <c r="I3">
        <f t="shared" si="3"/>
        <v>49.5</v>
      </c>
      <c r="J3" s="1">
        <f t="shared" si="4"/>
        <v>19.8</v>
      </c>
      <c r="K3" s="1">
        <v>50</v>
      </c>
      <c r="L3" s="1">
        <f>IFERROR(VLOOKUP(Sheet1!D11,Table2[[Product Name]:[ A(Qty)]],9,FALSE)- VLOOKUP(C3,Sheet1!$D$10:$J$39,5,FALSE),K3)</f>
        <v>47</v>
      </c>
      <c r="M3" s="1">
        <f>IFERROR(VLOOKUP(Sheet1!D11,Table2[[#All],[Product Name]:[ A(Qty)]],9,FALSE)," ")</f>
        <v>50</v>
      </c>
    </row>
    <row r="4" spans="3:15" x14ac:dyDescent="0.3">
      <c r="C4" t="s">
        <v>5</v>
      </c>
      <c r="D4">
        <v>200</v>
      </c>
      <c r="E4">
        <v>188</v>
      </c>
      <c r="F4">
        <f t="shared" si="0"/>
        <v>40</v>
      </c>
      <c r="G4">
        <f t="shared" si="1"/>
        <v>100</v>
      </c>
      <c r="H4">
        <f t="shared" si="2"/>
        <v>200</v>
      </c>
      <c r="I4">
        <f t="shared" si="3"/>
        <v>94</v>
      </c>
      <c r="J4" s="1">
        <f t="shared" si="4"/>
        <v>37.6</v>
      </c>
      <c r="K4" s="1">
        <v>50</v>
      </c>
      <c r="L4" s="1">
        <f>IFERROR(VLOOKUP(Sheet1!D12,Table2[[Product Name]:[ A(Qty)]],9,FALSE)- VLOOKUP(C4,Sheet1!$D$10:$J$39,5,FALSE),K4)</f>
        <v>45</v>
      </c>
      <c r="M4" s="1">
        <f>IFERROR(VLOOKUP(Sheet1!D12,Table2[[#All],[Product Name]:[ A(Qty)]],9,FALSE)," ")</f>
        <v>50</v>
      </c>
    </row>
    <row r="5" spans="3:15" x14ac:dyDescent="0.3">
      <c r="C5" t="s">
        <v>6</v>
      </c>
      <c r="D5">
        <v>300</v>
      </c>
      <c r="E5">
        <v>280</v>
      </c>
      <c r="F5">
        <f t="shared" si="0"/>
        <v>60</v>
      </c>
      <c r="G5">
        <f t="shared" si="1"/>
        <v>150</v>
      </c>
      <c r="H5">
        <f t="shared" si="2"/>
        <v>300</v>
      </c>
      <c r="I5">
        <f t="shared" si="3"/>
        <v>140</v>
      </c>
      <c r="J5" s="1">
        <f t="shared" si="4"/>
        <v>56</v>
      </c>
      <c r="K5" s="1">
        <v>50</v>
      </c>
      <c r="L5" s="1">
        <f>IFERROR(VLOOKUP(Sheet1!D13,Table2[[Product Name]:[ A(Qty)]],9,FALSE)- VLOOKUP(C5,Sheet1!$D$10:$J$39,5,FALSE),K5)</f>
        <v>49</v>
      </c>
      <c r="M5" s="1">
        <f>IFERROR(VLOOKUP(Sheet1!D13,Table2[[#All],[Product Name]:[ A(Qty)]],9,FALSE)," ")</f>
        <v>50</v>
      </c>
    </row>
    <row r="6" spans="3:15" x14ac:dyDescent="0.3">
      <c r="C6" t="s">
        <v>8</v>
      </c>
      <c r="D6">
        <v>200</v>
      </c>
      <c r="E6">
        <v>190</v>
      </c>
      <c r="F6">
        <f t="shared" si="0"/>
        <v>40</v>
      </c>
      <c r="G6">
        <f t="shared" si="1"/>
        <v>100</v>
      </c>
      <c r="H6">
        <f t="shared" si="2"/>
        <v>200</v>
      </c>
      <c r="I6">
        <f t="shared" si="3"/>
        <v>95</v>
      </c>
      <c r="J6" s="1">
        <f t="shared" si="4"/>
        <v>38</v>
      </c>
      <c r="K6" s="1">
        <v>50</v>
      </c>
      <c r="L6" s="1">
        <f>IFERROR(VLOOKUP(Sheet1!D14,Table2[[Product Name]:[ A(Qty)]],9,FALSE)- VLOOKUP(C6,Sheet1!$D$10:$J$39,5,FALSE),K6)</f>
        <v>49</v>
      </c>
      <c r="M6" s="1">
        <f>IFERROR(VLOOKUP(Sheet1!D14,Table2[[#All],[Product Name]:[ A(Qty)]],9,FALSE)," ")</f>
        <v>50</v>
      </c>
    </row>
    <row r="7" spans="3:15" x14ac:dyDescent="0.3">
      <c r="C7" t="s">
        <v>26</v>
      </c>
      <c r="D7">
        <v>150</v>
      </c>
      <c r="E7">
        <v>145</v>
      </c>
      <c r="F7">
        <f t="shared" si="0"/>
        <v>30</v>
      </c>
      <c r="G7">
        <f t="shared" si="1"/>
        <v>75</v>
      </c>
      <c r="H7">
        <f t="shared" si="2"/>
        <v>150</v>
      </c>
      <c r="I7">
        <f t="shared" si="3"/>
        <v>72.5</v>
      </c>
      <c r="J7" s="1">
        <f t="shared" si="4"/>
        <v>29</v>
      </c>
      <c r="K7" s="1">
        <v>50</v>
      </c>
      <c r="L7" s="1">
        <f>IFERROR(VLOOKUP(Sheet1!D15,Table2[[Product Name]:[ A(Qty)]],9,FALSE)- VLOOKUP(C7,Sheet1!$D$10:$J$39,5,FALSE),K7)</f>
        <v>48</v>
      </c>
      <c r="M7" s="1">
        <f>IFERROR(VLOOKUP(Sheet1!D15,Table2[[#All],[Product Name]:[ A(Qty)]],9,FALSE)," ")</f>
        <v>50</v>
      </c>
    </row>
    <row r="8" spans="3:15" x14ac:dyDescent="0.3">
      <c r="C8" t="s">
        <v>77</v>
      </c>
      <c r="D8">
        <v>120</v>
      </c>
      <c r="E8">
        <v>100</v>
      </c>
      <c r="F8">
        <f t="shared" si="0"/>
        <v>24</v>
      </c>
      <c r="G8">
        <f t="shared" si="1"/>
        <v>60</v>
      </c>
      <c r="H8">
        <f t="shared" si="2"/>
        <v>120</v>
      </c>
      <c r="I8">
        <f t="shared" si="3"/>
        <v>50</v>
      </c>
      <c r="J8" s="1">
        <f t="shared" si="4"/>
        <v>20</v>
      </c>
      <c r="K8" s="1">
        <v>50</v>
      </c>
      <c r="L8" s="1">
        <f>IFERROR(VLOOKUP(Sheet1!D16,Table2[[Product Name]:[ A(Qty)]],9,FALSE)- VLOOKUP(C8,Sheet1!$D$10:$J$39,5,FALSE),K8)</f>
        <v>50</v>
      </c>
      <c r="M8" s="1" t="str">
        <f>IFERROR(VLOOKUP(Sheet1!D16,Table2[[#All],[Product Name]:[ A(Qty)]],9,FALSE)," ")</f>
        <v xml:space="preserve"> </v>
      </c>
    </row>
    <row r="9" spans="3:15" x14ac:dyDescent="0.3">
      <c r="C9" t="s">
        <v>28</v>
      </c>
      <c r="D9">
        <v>90</v>
      </c>
      <c r="E9">
        <v>85</v>
      </c>
      <c r="F9">
        <f t="shared" si="0"/>
        <v>18</v>
      </c>
      <c r="G9">
        <f t="shared" si="1"/>
        <v>45</v>
      </c>
      <c r="H9">
        <f t="shared" si="2"/>
        <v>90</v>
      </c>
      <c r="I9">
        <f t="shared" si="3"/>
        <v>42.5</v>
      </c>
      <c r="J9" s="1">
        <f t="shared" si="4"/>
        <v>17</v>
      </c>
      <c r="K9" s="1">
        <v>50</v>
      </c>
      <c r="L9" s="1">
        <f>IFERROR(VLOOKUP(Sheet1!D17,Table2[[Product Name]:[ A(Qty)]],9,FALSE)- VLOOKUP(C9,Sheet1!$D$10:$J$39,5,FALSE),K9)</f>
        <v>50</v>
      </c>
      <c r="M9" s="1" t="str">
        <f>IFERROR(VLOOKUP(Sheet1!D17,Table2[[#All],[Product Name]:[ A(Qty)]],9,FALSE)," ")</f>
        <v xml:space="preserve"> </v>
      </c>
    </row>
    <row r="10" spans="3:15" x14ac:dyDescent="0.3">
      <c r="C10" t="s">
        <v>29</v>
      </c>
      <c r="D10">
        <v>130</v>
      </c>
      <c r="E10">
        <v>128</v>
      </c>
      <c r="F10">
        <f t="shared" si="0"/>
        <v>26</v>
      </c>
      <c r="G10">
        <f t="shared" si="1"/>
        <v>65</v>
      </c>
      <c r="H10">
        <f t="shared" si="2"/>
        <v>130</v>
      </c>
      <c r="I10">
        <f t="shared" si="3"/>
        <v>64</v>
      </c>
      <c r="J10" s="1">
        <f t="shared" si="4"/>
        <v>25.6</v>
      </c>
      <c r="K10" s="1">
        <v>50</v>
      </c>
      <c r="L10" s="1">
        <f>IFERROR(VLOOKUP(Sheet1!D18,Table2[[Product Name]:[ A(Qty)]],9,FALSE)- VLOOKUP(C10,Sheet1!$D$10:$J$39,5,FALSE),K10)</f>
        <v>50</v>
      </c>
      <c r="M10" s="1" t="str">
        <f>IFERROR(VLOOKUP(Sheet1!D18,Table2[[#All],[Product Name]:[ A(Qty)]],9,FALSE)," ")</f>
        <v xml:space="preserve"> </v>
      </c>
    </row>
    <row r="11" spans="3:15" x14ac:dyDescent="0.3">
      <c r="C11" t="s">
        <v>30</v>
      </c>
      <c r="D11">
        <v>80</v>
      </c>
      <c r="E11">
        <v>75</v>
      </c>
      <c r="F11">
        <f t="shared" si="0"/>
        <v>16</v>
      </c>
      <c r="G11">
        <f t="shared" si="1"/>
        <v>40</v>
      </c>
      <c r="H11">
        <f t="shared" si="2"/>
        <v>80</v>
      </c>
      <c r="I11">
        <f t="shared" si="3"/>
        <v>37.5</v>
      </c>
      <c r="J11" s="1">
        <f t="shared" si="4"/>
        <v>15</v>
      </c>
      <c r="K11" s="1">
        <v>50</v>
      </c>
      <c r="L11" s="1">
        <f>IFERROR(VLOOKUP(Sheet1!D19,Table2[[Product Name]:[ A(Qty)]],9,FALSE)- VLOOKUP(C11,Sheet1!$D$10:$J$39,5,FALSE),K11)</f>
        <v>50</v>
      </c>
      <c r="M11" s="1" t="str">
        <f>IFERROR(VLOOKUP(Sheet1!D19,Table2[[#All],[Product Name]:[ A(Qty)]],9,FALSE)," ")</f>
        <v xml:space="preserve"> </v>
      </c>
    </row>
    <row r="12" spans="3:15" x14ac:dyDescent="0.3">
      <c r="C12" t="s">
        <v>31</v>
      </c>
      <c r="D12">
        <v>60</v>
      </c>
      <c r="E12">
        <v>55</v>
      </c>
      <c r="F12">
        <f t="shared" si="0"/>
        <v>12</v>
      </c>
      <c r="G12">
        <f t="shared" si="1"/>
        <v>30</v>
      </c>
      <c r="H12">
        <f t="shared" si="2"/>
        <v>60</v>
      </c>
      <c r="I12">
        <f t="shared" si="3"/>
        <v>27.5</v>
      </c>
      <c r="J12" s="1">
        <f t="shared" si="4"/>
        <v>11</v>
      </c>
      <c r="K12" s="1">
        <v>50</v>
      </c>
      <c r="L12" s="1">
        <f>IFERROR(VLOOKUP(Sheet1!D20,Table2[[Product Name]:[ A(Qty)]],9,FALSE)- VLOOKUP(C12,Sheet1!$D$10:$J$39,5,FALSE),K12)</f>
        <v>50</v>
      </c>
      <c r="M12" s="1" t="str">
        <f>IFERROR(VLOOKUP(Sheet1!D20,Table2[[#All],[Product Name]:[ A(Qty)]],9,FALSE)," ")</f>
        <v xml:space="preserve"> </v>
      </c>
    </row>
    <row r="13" spans="3:15" x14ac:dyDescent="0.3">
      <c r="C13" t="s">
        <v>32</v>
      </c>
      <c r="D13">
        <v>240</v>
      </c>
      <c r="E13">
        <v>230</v>
      </c>
      <c r="F13">
        <f t="shared" si="0"/>
        <v>48</v>
      </c>
      <c r="G13">
        <f t="shared" si="1"/>
        <v>120</v>
      </c>
      <c r="H13">
        <f t="shared" si="2"/>
        <v>240</v>
      </c>
      <c r="I13">
        <f t="shared" si="3"/>
        <v>115</v>
      </c>
      <c r="J13" s="1">
        <f t="shared" si="4"/>
        <v>46</v>
      </c>
      <c r="K13" s="1">
        <v>50</v>
      </c>
      <c r="L13" s="1">
        <f>IFERROR(VLOOKUP(Sheet1!D21,Table2[[Product Name]:[ A(Qty)]],9,FALSE)- VLOOKUP(C13,Sheet1!$D$10:$J$39,5,FALSE),K13)</f>
        <v>50</v>
      </c>
      <c r="M13" s="1" t="str">
        <f>IFERROR(VLOOKUP(Sheet1!D21,Table2[[#All],[Product Name]:[ A(Qty)]],9,FALSE)," ")</f>
        <v xml:space="preserve"> </v>
      </c>
    </row>
    <row r="14" spans="3:15" x14ac:dyDescent="0.3">
      <c r="C14" t="s">
        <v>33</v>
      </c>
      <c r="D14">
        <v>290</v>
      </c>
      <c r="E14">
        <v>270</v>
      </c>
      <c r="F14">
        <f t="shared" si="0"/>
        <v>58</v>
      </c>
      <c r="G14">
        <f t="shared" si="1"/>
        <v>145</v>
      </c>
      <c r="H14">
        <f t="shared" si="2"/>
        <v>290</v>
      </c>
      <c r="I14">
        <f t="shared" si="3"/>
        <v>135</v>
      </c>
      <c r="J14" s="1">
        <f t="shared" si="4"/>
        <v>54</v>
      </c>
      <c r="K14" s="1">
        <v>50</v>
      </c>
      <c r="L14" s="1">
        <f>IFERROR(VLOOKUP(Sheet1!D22,Table2[[Product Name]:[ A(Qty)]],9,FALSE)- VLOOKUP(C14,Sheet1!$D$10:$J$39,5,FALSE),K14)</f>
        <v>50</v>
      </c>
      <c r="M14" s="1" t="str">
        <f>IFERROR(VLOOKUP(Sheet1!D22,Table2[[#All],[Product Name]:[ A(Qty)]],9,FALSE)," ")</f>
        <v xml:space="preserve"> </v>
      </c>
    </row>
    <row r="15" spans="3:15" x14ac:dyDescent="0.3">
      <c r="C15" t="s">
        <v>34</v>
      </c>
      <c r="D15">
        <v>180</v>
      </c>
      <c r="E15">
        <v>178</v>
      </c>
      <c r="F15">
        <f t="shared" si="0"/>
        <v>36</v>
      </c>
      <c r="G15">
        <f t="shared" si="1"/>
        <v>90</v>
      </c>
      <c r="H15">
        <f t="shared" si="2"/>
        <v>180</v>
      </c>
      <c r="I15">
        <f t="shared" si="3"/>
        <v>89</v>
      </c>
      <c r="J15" s="1">
        <f t="shared" si="4"/>
        <v>35.6</v>
      </c>
      <c r="K15" s="1">
        <v>50</v>
      </c>
      <c r="L15" s="1">
        <f>IFERROR(VLOOKUP(Sheet1!D23,Table2[[Product Name]:[ A(Qty)]],9,FALSE)- VLOOKUP(C15,Sheet1!$D$10:$J$39,5,FALSE),K15)</f>
        <v>50</v>
      </c>
      <c r="M15" s="1" t="str">
        <f>IFERROR(VLOOKUP(Sheet1!D23,Table2[[#All],[Product Name]:[ A(Qty)]],9,FALSE)," ")</f>
        <v xml:space="preserve"> </v>
      </c>
    </row>
    <row r="16" spans="3:15" x14ac:dyDescent="0.3">
      <c r="C16" t="s">
        <v>35</v>
      </c>
      <c r="D16">
        <v>200</v>
      </c>
      <c r="E16">
        <v>195</v>
      </c>
      <c r="F16">
        <f t="shared" si="0"/>
        <v>40</v>
      </c>
      <c r="G16">
        <f t="shared" si="1"/>
        <v>100</v>
      </c>
      <c r="H16">
        <f t="shared" si="2"/>
        <v>200</v>
      </c>
      <c r="I16">
        <f t="shared" si="3"/>
        <v>97.5</v>
      </c>
      <c r="J16" s="1">
        <f t="shared" si="4"/>
        <v>39</v>
      </c>
      <c r="K16" s="1">
        <v>50</v>
      </c>
      <c r="L16" s="1">
        <f>IFERROR(VLOOKUP(Sheet1!#REF!,Table2[[Product Name]:[ A(Qty)]],9,FALSE)- VLOOKUP(C16,Sheet1!$D$10:$J$39,5,FALSE),K16)</f>
        <v>50</v>
      </c>
      <c r="M16" s="1" t="str">
        <f>IFERROR(VLOOKUP(Sheet1!#REF!,Table2[[#All],[Product Name]:[ A(Qty)]],9,FALSE)," ")</f>
        <v xml:space="preserve"> </v>
      </c>
    </row>
    <row r="17" spans="3:15" x14ac:dyDescent="0.3">
      <c r="C17" t="s">
        <v>36</v>
      </c>
      <c r="D17">
        <v>80</v>
      </c>
      <c r="E17">
        <v>75</v>
      </c>
      <c r="F17">
        <f t="shared" si="0"/>
        <v>16</v>
      </c>
      <c r="G17">
        <f t="shared" si="1"/>
        <v>40</v>
      </c>
      <c r="H17">
        <f t="shared" si="2"/>
        <v>80</v>
      </c>
      <c r="I17">
        <f t="shared" si="3"/>
        <v>37.5</v>
      </c>
      <c r="J17" s="1">
        <f t="shared" si="4"/>
        <v>15</v>
      </c>
      <c r="K17" s="1">
        <v>50</v>
      </c>
      <c r="L17" s="1">
        <f>IFERROR(VLOOKUP(Sheet1!#REF!,Table2[[Product Name]:[ A(Qty)]],9,FALSE)- VLOOKUP(C17,Sheet1!$D$10:$J$39,5,FALSE),K17)</f>
        <v>50</v>
      </c>
      <c r="M17" s="1" t="str">
        <f>IFERROR(VLOOKUP(Sheet1!#REF!,Table2[[#All],[Product Name]:[ A(Qty)]],9,FALSE)," ")</f>
        <v xml:space="preserve"> </v>
      </c>
    </row>
    <row r="18" spans="3:15" x14ac:dyDescent="0.3">
      <c r="C18" t="s">
        <v>37</v>
      </c>
      <c r="D18">
        <v>78</v>
      </c>
      <c r="E18">
        <v>74</v>
      </c>
      <c r="F18">
        <f t="shared" si="0"/>
        <v>15.6</v>
      </c>
      <c r="G18">
        <f t="shared" si="1"/>
        <v>39</v>
      </c>
      <c r="H18">
        <f t="shared" si="2"/>
        <v>78</v>
      </c>
      <c r="I18">
        <f t="shared" si="3"/>
        <v>37</v>
      </c>
      <c r="J18" s="1">
        <f t="shared" si="4"/>
        <v>14.8</v>
      </c>
      <c r="K18" s="1">
        <v>50</v>
      </c>
      <c r="L18" s="1">
        <f>IFERROR(VLOOKUP(Sheet1!#REF!,Table2[[Product Name]:[ A(Qty)]],9,FALSE)- VLOOKUP(C18,Sheet1!$D$10:$J$39,5,FALSE),K18)</f>
        <v>50</v>
      </c>
      <c r="M18" s="1" t="str">
        <f>IFERROR(VLOOKUP(Sheet1!#REF!,Table2[[#All],[Product Name]:[ A(Qty)]],9,FALSE)," ")</f>
        <v xml:space="preserve"> </v>
      </c>
    </row>
    <row r="19" spans="3:15" x14ac:dyDescent="0.3">
      <c r="C19" t="s">
        <v>38</v>
      </c>
      <c r="D19">
        <v>90</v>
      </c>
      <c r="E19">
        <v>88</v>
      </c>
      <c r="F19">
        <f t="shared" si="0"/>
        <v>18</v>
      </c>
      <c r="G19">
        <f t="shared" si="1"/>
        <v>45</v>
      </c>
      <c r="H19">
        <f t="shared" si="2"/>
        <v>90</v>
      </c>
      <c r="I19">
        <f t="shared" si="3"/>
        <v>44</v>
      </c>
      <c r="J19" s="1">
        <f t="shared" si="4"/>
        <v>17.600000000000001</v>
      </c>
      <c r="K19" s="1">
        <v>50</v>
      </c>
      <c r="L19" s="1">
        <f>IFERROR(VLOOKUP(Sheet1!#REF!,Table2[[Product Name]:[ A(Qty)]],9,FALSE)- VLOOKUP(C19,Sheet1!$D$10:$J$39,5,FALSE),K19)</f>
        <v>50</v>
      </c>
      <c r="M19" s="1" t="str">
        <f>IFERROR(VLOOKUP(Sheet1!#REF!,Table2[[#All],[Product Name]:[ A(Qty)]],9,FALSE)," ")</f>
        <v xml:space="preserve"> </v>
      </c>
    </row>
    <row r="20" spans="3:15" x14ac:dyDescent="0.3">
      <c r="C20" t="s">
        <v>39</v>
      </c>
      <c r="D20">
        <v>170</v>
      </c>
      <c r="E20">
        <v>167</v>
      </c>
      <c r="F20">
        <f t="shared" si="0"/>
        <v>34</v>
      </c>
      <c r="G20">
        <f t="shared" si="1"/>
        <v>85</v>
      </c>
      <c r="H20">
        <f t="shared" si="2"/>
        <v>170</v>
      </c>
      <c r="I20">
        <f t="shared" si="3"/>
        <v>83.5</v>
      </c>
      <c r="J20" s="1">
        <f t="shared" si="4"/>
        <v>33.4</v>
      </c>
      <c r="K20" s="1">
        <v>50</v>
      </c>
      <c r="L20" s="1">
        <f>IFERROR(VLOOKUP(Sheet1!#REF!,Table2[[Product Name]:[ A(Qty)]],9,FALSE)- VLOOKUP(C20,Sheet1!$D$10:$J$39,5,FALSE),K20)</f>
        <v>50</v>
      </c>
      <c r="M20" s="1" t="str">
        <f>IFERROR(VLOOKUP(Sheet1!#REF!,Table2[[#All],[Product Name]:[ A(Qty)]],9,FALSE)," ")</f>
        <v xml:space="preserve"> </v>
      </c>
    </row>
    <row r="21" spans="3:15" x14ac:dyDescent="0.3">
      <c r="C21" t="s">
        <v>76</v>
      </c>
      <c r="D21">
        <v>70</v>
      </c>
      <c r="E21">
        <v>65</v>
      </c>
      <c r="F21">
        <f t="shared" si="0"/>
        <v>14</v>
      </c>
      <c r="G21">
        <f t="shared" si="1"/>
        <v>35</v>
      </c>
      <c r="H21">
        <f t="shared" si="2"/>
        <v>70</v>
      </c>
      <c r="I21">
        <f t="shared" si="3"/>
        <v>32.5</v>
      </c>
      <c r="J21" s="1">
        <f t="shared" si="4"/>
        <v>13</v>
      </c>
      <c r="K21" s="1">
        <v>50</v>
      </c>
      <c r="L21" s="1">
        <f>IFERROR(VLOOKUP(Sheet1!#REF!,Table2[[Product Name]:[ A(Qty)]],9,FALSE)- VLOOKUP(C21,Sheet1!$D$10:$J$39,5,FALSE),K21)</f>
        <v>50</v>
      </c>
      <c r="M21" s="1" t="str">
        <f>IFERROR(VLOOKUP(Sheet1!#REF!,Table2[[#All],[Product Name]:[ A(Qty)]],9,FALSE)," ")</f>
        <v xml:space="preserve"> </v>
      </c>
    </row>
    <row r="22" spans="3:15" x14ac:dyDescent="0.3">
      <c r="C22" t="s">
        <v>40</v>
      </c>
      <c r="D22">
        <v>90</v>
      </c>
      <c r="E22">
        <v>86</v>
      </c>
      <c r="F22">
        <f t="shared" si="0"/>
        <v>18</v>
      </c>
      <c r="G22">
        <f t="shared" si="1"/>
        <v>45</v>
      </c>
      <c r="H22">
        <f t="shared" si="2"/>
        <v>90</v>
      </c>
      <c r="I22">
        <f t="shared" si="3"/>
        <v>43</v>
      </c>
      <c r="J22" s="1">
        <f t="shared" si="4"/>
        <v>17.2</v>
      </c>
      <c r="K22" s="1">
        <v>50</v>
      </c>
      <c r="L22" s="1">
        <f>IFERROR(VLOOKUP(Sheet1!#REF!,Table2[[Product Name]:[ A(Qty)]],9,FALSE)- VLOOKUP(C22,Sheet1!$D$10:$J$39,5,FALSE),K22)</f>
        <v>50</v>
      </c>
      <c r="M22" s="1" t="str">
        <f>IFERROR(VLOOKUP(Sheet1!#REF!,Table2[[#All],[Product Name]:[ A(Qty)]],9,FALSE)," ")</f>
        <v xml:space="preserve"> </v>
      </c>
    </row>
    <row r="23" spans="3:15" x14ac:dyDescent="0.3">
      <c r="C23" t="s">
        <v>41</v>
      </c>
      <c r="D23">
        <v>80</v>
      </c>
      <c r="E23">
        <v>76</v>
      </c>
      <c r="F23">
        <f t="shared" si="0"/>
        <v>16</v>
      </c>
      <c r="G23">
        <f t="shared" si="1"/>
        <v>40</v>
      </c>
      <c r="H23">
        <f t="shared" si="2"/>
        <v>80</v>
      </c>
      <c r="I23">
        <f t="shared" si="3"/>
        <v>38</v>
      </c>
      <c r="J23" s="1">
        <f t="shared" si="4"/>
        <v>15.2</v>
      </c>
      <c r="K23" s="1">
        <v>50</v>
      </c>
      <c r="L23" s="1">
        <f>IFERROR(VLOOKUP(Sheet1!#REF!,Table2[[Product Name]:[ A(Qty)]],9,FALSE)- VLOOKUP(C23,Sheet1!$D$10:$J$39,5,FALSE),K23)</f>
        <v>50</v>
      </c>
      <c r="M23" s="1" t="str">
        <f>IFERROR(VLOOKUP(Sheet1!#REF!,Table2[[#All],[Product Name]:[ A(Qty)]],9,FALSE)," ")</f>
        <v xml:space="preserve"> </v>
      </c>
    </row>
    <row r="24" spans="3:15" x14ac:dyDescent="0.3">
      <c r="C24" t="s">
        <v>42</v>
      </c>
      <c r="D24">
        <v>90</v>
      </c>
      <c r="E24">
        <v>89</v>
      </c>
      <c r="F24">
        <f t="shared" si="0"/>
        <v>18</v>
      </c>
      <c r="G24">
        <f t="shared" si="1"/>
        <v>45</v>
      </c>
      <c r="H24">
        <f t="shared" si="2"/>
        <v>90</v>
      </c>
      <c r="I24">
        <f t="shared" si="3"/>
        <v>44.5</v>
      </c>
      <c r="J24" s="1">
        <f t="shared" si="4"/>
        <v>17.8</v>
      </c>
      <c r="K24" s="1">
        <v>50</v>
      </c>
      <c r="L24" s="1">
        <f>IFERROR(VLOOKUP(Sheet1!#REF!,Table2[[Product Name]:[ A(Qty)]],9,FALSE)- VLOOKUP(C24,Sheet1!$D$10:$J$39,5,FALSE),K24)</f>
        <v>50</v>
      </c>
      <c r="M24" s="1" t="str">
        <f>IFERROR(VLOOKUP(Sheet1!#REF!,Table2[[#All],[Product Name]:[ A(Qty)]],9,FALSE)," ")</f>
        <v xml:space="preserve"> </v>
      </c>
    </row>
    <row r="25" spans="3:15" x14ac:dyDescent="0.3">
      <c r="C25" t="s">
        <v>43</v>
      </c>
      <c r="D25">
        <v>50</v>
      </c>
      <c r="E25">
        <v>45</v>
      </c>
      <c r="F25">
        <f t="shared" si="0"/>
        <v>10</v>
      </c>
      <c r="G25">
        <f t="shared" si="1"/>
        <v>25</v>
      </c>
      <c r="H25">
        <f t="shared" si="2"/>
        <v>50</v>
      </c>
      <c r="I25">
        <f t="shared" si="3"/>
        <v>22.5</v>
      </c>
      <c r="J25" s="1">
        <f t="shared" si="4"/>
        <v>9</v>
      </c>
      <c r="K25" s="1">
        <v>50</v>
      </c>
      <c r="L25" s="1">
        <f>IFERROR(VLOOKUP(Sheet1!#REF!,Table2[[Product Name]:[ A(Qty)]],9,FALSE)- VLOOKUP(C25,Sheet1!$D$10:$J$39,5,FALSE),K25)</f>
        <v>50</v>
      </c>
      <c r="M25" s="1" t="str">
        <f>IFERROR(VLOOKUP(Sheet1!#REF!,Table2[[#All],[Product Name]:[ A(Qty)]],9,FALSE)," ")</f>
        <v xml:space="preserve"> </v>
      </c>
    </row>
    <row r="26" spans="3:15" x14ac:dyDescent="0.3">
      <c r="C26" t="s">
        <v>44</v>
      </c>
      <c r="D26">
        <v>88</v>
      </c>
      <c r="E26">
        <v>84</v>
      </c>
      <c r="F26">
        <f t="shared" si="0"/>
        <v>17.600000000000001</v>
      </c>
      <c r="G26">
        <f t="shared" si="1"/>
        <v>44</v>
      </c>
      <c r="H26">
        <f t="shared" si="2"/>
        <v>88</v>
      </c>
      <c r="I26">
        <f t="shared" si="3"/>
        <v>42</v>
      </c>
      <c r="J26" s="1">
        <f t="shared" si="4"/>
        <v>16.8</v>
      </c>
      <c r="K26" s="1">
        <v>50</v>
      </c>
      <c r="L26" s="1">
        <f>IFERROR(VLOOKUP(Sheet1!#REF!,Table2[[Product Name]:[ A(Qty)]],9,FALSE)- VLOOKUP(C26,Sheet1!$D$10:$J$39,5,FALSE),K26)</f>
        <v>50</v>
      </c>
      <c r="M26" s="1" t="str">
        <f>IFERROR(VLOOKUP(Sheet1!#REF!,Table2[[#All],[Product Name]:[ A(Qty)]],9,FALSE)," ")</f>
        <v xml:space="preserve"> </v>
      </c>
    </row>
    <row r="27" spans="3:15" x14ac:dyDescent="0.3">
      <c r="C27" t="s">
        <v>45</v>
      </c>
      <c r="D27">
        <v>78</v>
      </c>
      <c r="E27">
        <v>73</v>
      </c>
      <c r="F27">
        <f t="shared" si="0"/>
        <v>15.6</v>
      </c>
      <c r="G27">
        <f t="shared" si="1"/>
        <v>39</v>
      </c>
      <c r="H27">
        <f t="shared" si="2"/>
        <v>78</v>
      </c>
      <c r="I27">
        <f t="shared" si="3"/>
        <v>36.5</v>
      </c>
      <c r="J27" s="1">
        <f t="shared" si="4"/>
        <v>14.6</v>
      </c>
      <c r="K27" s="1">
        <v>50</v>
      </c>
      <c r="L27" s="1">
        <f>IFERROR(VLOOKUP(Sheet1!#REF!,Table2[[Product Name]:[ A(Qty)]],9,FALSE)- VLOOKUP(C27,Sheet1!$D$10:$J$39,5,FALSE),K27)</f>
        <v>50</v>
      </c>
      <c r="M27" s="1" t="str">
        <f>IFERROR(VLOOKUP(Sheet1!#REF!,Table2[[#All],[Product Name]:[ A(Qty)]],9,FALSE)," ")</f>
        <v xml:space="preserve"> </v>
      </c>
    </row>
    <row r="28" spans="3:15" x14ac:dyDescent="0.3">
      <c r="C28" t="s">
        <v>46</v>
      </c>
      <c r="D28">
        <v>148</v>
      </c>
      <c r="E28">
        <v>146</v>
      </c>
      <c r="F28">
        <f t="shared" si="0"/>
        <v>29.6</v>
      </c>
      <c r="G28">
        <f t="shared" si="1"/>
        <v>74</v>
      </c>
      <c r="H28">
        <f t="shared" si="2"/>
        <v>148</v>
      </c>
      <c r="I28">
        <f t="shared" si="3"/>
        <v>73</v>
      </c>
      <c r="J28" s="1">
        <f t="shared" si="4"/>
        <v>29.2</v>
      </c>
      <c r="K28" s="1">
        <v>50</v>
      </c>
      <c r="L28" s="1">
        <f>IFERROR(VLOOKUP(Sheet1!#REF!,Table2[[Product Name]:[ A(Qty)]],9,FALSE)- VLOOKUP(C28,Sheet1!$D$10:$J$39,5,FALSE),K28)</f>
        <v>50</v>
      </c>
      <c r="M28" s="1" t="str">
        <f>IFERROR(VLOOKUP(Sheet1!#REF!,Table2[[#All],[Product Name]:[ A(Qty)]],9,FALSE)," ")</f>
        <v xml:space="preserve"> </v>
      </c>
    </row>
    <row r="29" spans="3:15" x14ac:dyDescent="0.3">
      <c r="C29" t="s">
        <v>47</v>
      </c>
      <c r="D29">
        <v>86</v>
      </c>
      <c r="E29">
        <v>82</v>
      </c>
      <c r="F29">
        <f t="shared" si="0"/>
        <v>17.2</v>
      </c>
      <c r="G29">
        <f t="shared" si="1"/>
        <v>43</v>
      </c>
      <c r="H29">
        <f t="shared" si="2"/>
        <v>86</v>
      </c>
      <c r="I29">
        <f t="shared" si="3"/>
        <v>41</v>
      </c>
      <c r="J29" s="1">
        <f t="shared" si="4"/>
        <v>16.399999999999999</v>
      </c>
      <c r="K29" s="1">
        <v>50</v>
      </c>
      <c r="L29" s="1">
        <f>IFERROR(VLOOKUP(Sheet1!#REF!,Table2[[Product Name]:[ A(Qty)]],9,FALSE)- VLOOKUP(C29,Sheet1!$D$10:$J$39,5,FALSE),K29)</f>
        <v>50</v>
      </c>
      <c r="M29" s="1" t="str">
        <f>IFERROR(VLOOKUP(Sheet1!#REF!,Table2[[#All],[Product Name]:[ A(Qty)]],9,FALSE)," ")</f>
        <v xml:space="preserve"> </v>
      </c>
    </row>
    <row r="30" spans="3:15" x14ac:dyDescent="0.3">
      <c r="C30" t="s">
        <v>48</v>
      </c>
      <c r="D30">
        <v>80</v>
      </c>
      <c r="E30">
        <v>80</v>
      </c>
      <c r="F30">
        <f t="shared" si="0"/>
        <v>16</v>
      </c>
      <c r="G30">
        <f t="shared" si="1"/>
        <v>40</v>
      </c>
      <c r="H30">
        <f t="shared" si="2"/>
        <v>80</v>
      </c>
      <c r="I30">
        <f t="shared" si="3"/>
        <v>40</v>
      </c>
      <c r="J30" s="1">
        <f t="shared" si="4"/>
        <v>16</v>
      </c>
      <c r="K30" s="1">
        <v>50</v>
      </c>
      <c r="L30" s="1">
        <f>IFERROR(VLOOKUP(Sheet1!#REF!,Table2[[Product Name]:[ A(Qty)]],9,FALSE)- VLOOKUP(C30,Sheet1!$D$10:$J$39,5,FALSE),K30)</f>
        <v>50</v>
      </c>
      <c r="M30" s="1" t="str">
        <f>IFERROR(VLOOKUP(Sheet1!#REF!,Table2[[#All],[Product Name]:[ A(Qty)]],9,FALSE)," ")</f>
        <v xml:space="preserve"> </v>
      </c>
    </row>
    <row r="31" spans="3:15" x14ac:dyDescent="0.3">
      <c r="C31" t="s">
        <v>49</v>
      </c>
      <c r="D31">
        <v>350</v>
      </c>
      <c r="E31">
        <v>320</v>
      </c>
      <c r="F31">
        <f t="shared" si="0"/>
        <v>70</v>
      </c>
      <c r="G31">
        <f t="shared" si="1"/>
        <v>175</v>
      </c>
      <c r="H31">
        <f t="shared" si="2"/>
        <v>350</v>
      </c>
      <c r="I31">
        <f t="shared" si="3"/>
        <v>160</v>
      </c>
      <c r="J31" s="1">
        <f>E31/5</f>
        <v>64</v>
      </c>
      <c r="K31" s="1">
        <v>50</v>
      </c>
      <c r="L31" s="1">
        <f>IFERROR(VLOOKUP(Sheet1!#REF!,Table2[[Product Name]:[ A(Qty)]],9,FALSE)- VLOOKUP(C31,Sheet1!$D$10:$J$39,5,FALSE),K31)</f>
        <v>50</v>
      </c>
      <c r="M31" s="1" t="str">
        <f>IFERROR(VLOOKUP(Sheet1!#REF!,Table2[[#All],[Product Name]:[ A(Qty)]],9,FALSE)," ")</f>
        <v xml:space="preserve"> </v>
      </c>
      <c r="N31">
        <f>VLOOKUP(Sheet1!D12,Table2[#All],9,FALSE)</f>
        <v>50</v>
      </c>
    </row>
    <row r="32" spans="3:15" x14ac:dyDescent="0.3">
      <c r="N32" t="e">
        <f>VLOOKUP(items!C31,Sheet1!D10:K28,5,FALSE)</f>
        <v>#N/A</v>
      </c>
      <c r="O32" t="s">
        <v>60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G4"/>
  <sheetViews>
    <sheetView workbookViewId="0">
      <selection activeCell="G1" sqref="G1"/>
    </sheetView>
  </sheetViews>
  <sheetFormatPr defaultRowHeight="16.5" x14ac:dyDescent="0.3"/>
  <sheetData>
    <row r="1" spans="3:7" x14ac:dyDescent="0.3">
      <c r="C1" s="7"/>
      <c r="G1" t="s">
        <v>56</v>
      </c>
    </row>
    <row r="2" spans="3:7" x14ac:dyDescent="0.3">
      <c r="G2" t="s">
        <v>57</v>
      </c>
    </row>
    <row r="3" spans="3:7" x14ac:dyDescent="0.3">
      <c r="G3" t="s">
        <v>58</v>
      </c>
    </row>
    <row r="4" spans="3:7" x14ac:dyDescent="0.3">
      <c r="G4" t="s">
        <v>59</v>
      </c>
    </row>
  </sheetData>
  <dataValidations count="2">
    <dataValidation type="list" allowBlank="1" showInputMessage="1" showErrorMessage="1" sqref="C4">
      <formula1>list</formula1>
    </dataValidation>
    <dataValidation type="list" allowBlank="1" showInputMessage="1" showErrorMessage="1" sqref="A1">
      <formula1>Mylist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2"/>
  <sheetViews>
    <sheetView topLeftCell="D1" workbookViewId="0">
      <selection activeCell="F2" sqref="F2"/>
    </sheetView>
  </sheetViews>
  <sheetFormatPr defaultRowHeight="16.5" x14ac:dyDescent="0.3"/>
  <cols>
    <col min="4" max="4" width="17.125" customWidth="1"/>
    <col min="5" max="5" width="11" customWidth="1"/>
    <col min="6" max="6" width="17.25" customWidth="1"/>
    <col min="7" max="7" width="16.125" customWidth="1"/>
    <col min="8" max="8" width="15.375" customWidth="1"/>
    <col min="11" max="11" width="9.375" customWidth="1"/>
    <col min="12" max="12" width="11.125" customWidth="1"/>
    <col min="13" max="13" width="11.375" customWidth="1"/>
    <col min="14" max="14" width="10.5" customWidth="1"/>
  </cols>
  <sheetData>
    <row r="1" spans="1:13" x14ac:dyDescent="0.3">
      <c r="A1" t="s">
        <v>51</v>
      </c>
      <c r="B1" t="s">
        <v>23</v>
      </c>
      <c r="C1" t="s">
        <v>24</v>
      </c>
      <c r="D1" s="4" t="s">
        <v>25</v>
      </c>
      <c r="E1" s="2" t="s">
        <v>12</v>
      </c>
      <c r="F1" s="2" t="s">
        <v>13</v>
      </c>
      <c r="G1" s="2" t="s">
        <v>14</v>
      </c>
      <c r="H1" s="2" t="s">
        <v>0</v>
      </c>
      <c r="I1" s="2" t="s">
        <v>18</v>
      </c>
      <c r="J1" s="3" t="s">
        <v>19</v>
      </c>
      <c r="K1" s="6" t="s">
        <v>52</v>
      </c>
      <c r="L1" s="6" t="s">
        <v>54</v>
      </c>
      <c r="M1" s="6" t="s">
        <v>55</v>
      </c>
    </row>
    <row r="2" spans="1:13" x14ac:dyDescent="0.3">
      <c r="D2" t="str">
        <f>Sheet1!J4</f>
        <v>parthipan</v>
      </c>
      <c r="E2" t="s">
        <v>4</v>
      </c>
      <c r="H2">
        <v>50</v>
      </c>
      <c r="M2">
        <v>50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items</vt:lpstr>
      <vt:lpstr>Sheet2</vt:lpstr>
      <vt:lpstr>sales report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PARTHIPAN</dc:creator>
  <cp:lastModifiedBy>PARTHIPAN</cp:lastModifiedBy>
  <cp:lastPrinted>2024-12-03T14:16:16Z</cp:lastPrinted>
  <dcterms:created xsi:type="dcterms:W3CDTF">2024-10-22T04:39:31Z</dcterms:created>
  <dcterms:modified xsi:type="dcterms:W3CDTF">2024-12-09T07:37:34Z</dcterms:modified>
</cp:coreProperties>
</file>